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nd\Documents\02_網路共用基礎服務建置計畫_FIA_NSP_NSS_PCP_1100826_v1.0\五區防火牆\"/>
    </mc:Choice>
  </mc:AlternateContent>
  <xr:revisionPtr revIDLastSave="0" documentId="13_ncr:1_{7DDE8B85-4DA5-4D1D-92F1-CC1B91931BE2}" xr6:coauthVersionLast="47" xr6:coauthVersionMax="47" xr10:uidLastSave="{00000000-0000-0000-0000-000000000000}"/>
  <bookViews>
    <workbookView xWindow="-108" yWindow="-108" windowWidth="23256" windowHeight="13896" tabRatio="659" activeTab="2" xr2:uid="{00000000-000D-0000-FFFF-FFFF00000000}"/>
  </bookViews>
  <sheets>
    <sheet name="主機配置表_正式" sheetId="14" r:id="rId1"/>
    <sheet name="主機配置表_備援" sheetId="12" r:id="rId2"/>
    <sheet name="主機配置表_整測" sheetId="13" r:id="rId3"/>
    <sheet name="公式" sheetId="10" state="hidden" r:id="rId4"/>
    <sheet name="硬體管理配置表" sheetId="8" r:id="rId5"/>
    <sheet name="主機命名規則" sheetId="15" r:id="rId6"/>
    <sheet name="主機磁碟配置" sheetId="9" r:id="rId7"/>
    <sheet name="主機配置表(備份)" sheetId="1" r:id="rId8"/>
    <sheet name="Xen主機資訊" sheetId="3" state="hidden" r:id="rId9"/>
  </sheets>
  <definedNames>
    <definedName name="_xlnm._FilterDatabase" localSheetId="8" hidden="1">Xen主機資訊!$A$1:$X$501</definedName>
    <definedName name="_xlnm._FilterDatabase" localSheetId="7" hidden="1">'主機配置表(備份)'!$A$1:$Z$438</definedName>
    <definedName name="_xlnm._FilterDatabase" localSheetId="0" hidden="1">主機配置表_正式!$C$1:$AC$63</definedName>
    <definedName name="_xlnm._FilterDatabase" localSheetId="1" hidden="1">主機配置表_備援!$C$1:$AC$141</definedName>
    <definedName name="_xlnm._FilterDatabase" localSheetId="2" hidden="1">主機配置表_整測!$C$1:$AC$62</definedName>
    <definedName name="_xlnm._FilterDatabase" localSheetId="4" hidden="1">硬體管理配置表!$C$1:$V$278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0" l="1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2" i="10"/>
  <c r="D8" i="10"/>
  <c r="D9" i="10"/>
  <c r="D10" i="10"/>
  <c r="D11" i="10"/>
  <c r="D12" i="10"/>
  <c r="D13" i="10"/>
  <c r="D3" i="10"/>
  <c r="D4" i="10"/>
  <c r="D5" i="10"/>
  <c r="D6" i="10"/>
  <c r="D7" i="10"/>
  <c r="D1" i="10"/>
  <c r="H141" i="3"/>
  <c r="F141" i="3"/>
  <c r="H499" i="3"/>
  <c r="F499" i="3"/>
  <c r="H494" i="3"/>
  <c r="F494" i="3"/>
  <c r="H489" i="3"/>
  <c r="F489" i="3"/>
  <c r="H484" i="3"/>
  <c r="F484" i="3"/>
  <c r="H479" i="3"/>
  <c r="F479" i="3"/>
  <c r="H474" i="3"/>
  <c r="F474" i="3"/>
  <c r="H468" i="3"/>
  <c r="F468" i="3"/>
  <c r="H462" i="3"/>
  <c r="F462" i="3"/>
  <c r="H457" i="3"/>
  <c r="F457" i="3"/>
  <c r="H450" i="3"/>
  <c r="F450" i="3"/>
  <c r="H443" i="3"/>
  <c r="F443" i="3"/>
  <c r="H437" i="3"/>
  <c r="F437" i="3"/>
  <c r="H432" i="3"/>
  <c r="F432" i="3"/>
  <c r="H426" i="3"/>
  <c r="F426" i="3"/>
  <c r="H419" i="3"/>
  <c r="F419" i="3"/>
  <c r="H410" i="3"/>
  <c r="F410" i="3"/>
  <c r="H402" i="3"/>
  <c r="F402" i="3"/>
  <c r="H394" i="3"/>
  <c r="F394" i="3"/>
  <c r="H388" i="3"/>
  <c r="F388" i="3"/>
  <c r="H383" i="3"/>
  <c r="F383" i="3"/>
  <c r="H378" i="3"/>
  <c r="F378" i="3"/>
  <c r="H372" i="3"/>
  <c r="F372" i="3"/>
  <c r="H364" i="3"/>
  <c r="F364" i="3"/>
  <c r="H357" i="3"/>
  <c r="F357" i="3"/>
  <c r="H256" i="3"/>
  <c r="F256" i="3"/>
  <c r="H251" i="3"/>
  <c r="F251" i="3"/>
  <c r="H246" i="3"/>
  <c r="F246" i="3"/>
  <c r="H241" i="3"/>
  <c r="F241" i="3"/>
  <c r="H236" i="3"/>
  <c r="F236" i="3"/>
  <c r="H231" i="3"/>
  <c r="F231" i="3"/>
  <c r="H226" i="3"/>
  <c r="F226" i="3"/>
  <c r="H221" i="3"/>
  <c r="F221" i="3"/>
  <c r="H216" i="3"/>
  <c r="F216" i="3"/>
  <c r="H210" i="3"/>
  <c r="F210" i="3"/>
  <c r="H204" i="3"/>
  <c r="F204" i="3"/>
  <c r="H198" i="3"/>
  <c r="F198" i="3"/>
  <c r="H191" i="3"/>
  <c r="F191" i="3"/>
  <c r="H184" i="3"/>
  <c r="F184" i="3"/>
  <c r="H176" i="3"/>
  <c r="F176" i="3"/>
  <c r="H169" i="3"/>
  <c r="F169" i="3"/>
  <c r="H161" i="3"/>
  <c r="F161" i="3"/>
  <c r="H153" i="3"/>
  <c r="F153" i="3"/>
  <c r="H147" i="3"/>
  <c r="F147" i="3"/>
  <c r="H135" i="3"/>
  <c r="F135" i="3"/>
  <c r="H127" i="3"/>
  <c r="F127" i="3"/>
  <c r="H120" i="3"/>
  <c r="F120" i="3"/>
  <c r="H112" i="3"/>
  <c r="F112" i="3"/>
  <c r="H107" i="3"/>
  <c r="F107" i="3"/>
  <c r="H102" i="3"/>
  <c r="F102" i="3"/>
  <c r="H98" i="3"/>
  <c r="F98" i="3"/>
  <c r="H93" i="3"/>
  <c r="F93" i="3"/>
  <c r="H88" i="3"/>
  <c r="F88" i="3"/>
  <c r="H83" i="3"/>
  <c r="F83" i="3"/>
  <c r="H48" i="3"/>
  <c r="F48" i="3"/>
  <c r="H77" i="3"/>
  <c r="F77" i="3"/>
  <c r="H71" i="3"/>
  <c r="F71" i="3"/>
  <c r="H59" i="3"/>
  <c r="F59" i="3"/>
  <c r="H64" i="3"/>
  <c r="F64" i="3"/>
  <c r="H53" i="3"/>
  <c r="F53" i="3"/>
  <c r="H37" i="3"/>
  <c r="H43" i="3"/>
  <c r="F43" i="3"/>
  <c r="F37" i="3"/>
  <c r="H31" i="3"/>
  <c r="F31" i="3"/>
  <c r="H26" i="3"/>
  <c r="F26" i="3"/>
  <c r="H21" i="3"/>
  <c r="F21" i="3"/>
  <c r="H16" i="3"/>
  <c r="F16" i="3"/>
  <c r="H11" i="3"/>
  <c r="F11" i="3"/>
  <c r="H5" i="3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4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9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4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3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5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0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5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6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5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54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56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57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62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66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67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68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71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74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75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I76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ppfbem01</t>
        </r>
      </text>
    </comment>
    <comment ref="R79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80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81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82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D86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91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96" authorId="0" shapeId="0" xr:uid="{00000000-0006-0000-0800-00001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97" authorId="0" shapeId="0" xr:uid="{00000000-0006-0000-0800-00002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D101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05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10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16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21" authorId="0" shapeId="0" xr:uid="{00000000-0006-0000-0800-00002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R122" authorId="0" shapeId="0" xr:uid="{00000000-0006-0000-0800-00002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124" authorId="0" shapeId="0" xr:uid="{00000000-0006-0000-0800-00002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25" authorId="0" shapeId="0" xr:uid="{00000000-0006-0000-0800-00002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30GB
100GB</t>
        </r>
      </text>
    </comment>
    <comment ref="I128" authorId="0" shapeId="0" xr:uid="{00000000-0006-0000-0800-00002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TMS</t>
        </r>
      </text>
    </comment>
    <comment ref="R128" authorId="0" shapeId="0" xr:uid="{00000000-0006-0000-0800-00002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300GB</t>
        </r>
      </text>
    </comment>
    <comment ref="D130" authorId="0" shapeId="0" xr:uid="{00000000-0006-0000-0800-00002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136" authorId="0" shapeId="0" xr:uid="{00000000-0006-0000-0800-00002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TMC</t>
        </r>
      </text>
    </comment>
    <comment ref="R136" authorId="0" shapeId="0" xr:uid="{00000000-0006-0000-08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8GB
100GB</t>
        </r>
      </text>
    </comment>
    <comment ref="I137" authorId="0" shapeId="0" xr:uid="{00000000-0006-0000-08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TMC-2</t>
        </r>
      </text>
    </comment>
    <comment ref="R137" authorId="0" shapeId="0" xr:uid="{00000000-0006-0000-08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8GB
50GB</t>
        </r>
      </text>
    </comment>
    <comment ref="D139" authorId="0" shapeId="0" xr:uid="{00000000-0006-0000-0800-00003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40" authorId="0" shapeId="0" xr:uid="{00000000-0006-0000-0800-00003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30GB
80GB</t>
        </r>
      </text>
    </comment>
    <comment ref="D145" authorId="0" shapeId="0" xr:uid="{00000000-0006-0000-0800-00003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150" authorId="0" shapeId="0" xr:uid="{00000000-0006-0000-0800-00003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53" authorId="0" shapeId="0" xr:uid="{00000000-0006-0000-0800-00003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157" authorId="0" shapeId="0" xr:uid="{00000000-0006-0000-0800-00003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pvva04</t>
        </r>
      </text>
    </comment>
    <comment ref="R157" authorId="0" shapeId="0" xr:uid="{00000000-0006-0000-0800-00003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58" authorId="0" shapeId="0" xr:uid="{00000000-0006-0000-0800-00003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60" authorId="0" shapeId="0" xr:uid="{00000000-0006-0000-0800-00003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161" authorId="0" shapeId="0" xr:uid="{00000000-0006-0000-0800-00003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PVAPIAP03</t>
        </r>
      </text>
    </comment>
    <comment ref="R161" authorId="0" shapeId="0" xr:uid="{00000000-0006-0000-0800-00003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50GB</t>
        </r>
      </text>
    </comment>
    <comment ref="R163" authorId="0" shapeId="0" xr:uid="{00000000-0006-0000-0800-00003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66" authorId="0" shapeId="0" xr:uid="{00000000-0006-0000-08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71" authorId="0" shapeId="0" xr:uid="{00000000-0006-0000-0800-00003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172" authorId="0" shapeId="0" xr:uid="{00000000-0006-0000-0800-00003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73" authorId="0" shapeId="0" xr:uid="{00000000-0006-0000-0800-00003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180" authorId="0" shapeId="0" xr:uid="{00000000-0006-0000-0800-00004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181" authorId="0" shapeId="0" xr:uid="{00000000-0006-0000-0800-00004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184" authorId="0" shapeId="0" xr:uid="{00000000-0006-0000-0800-00004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50GB</t>
        </r>
      </text>
    </comment>
    <comment ref="D188" authorId="0" shapeId="0" xr:uid="{00000000-0006-0000-0800-00004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195" authorId="0" shapeId="0" xr:uid="{00000000-0006-0000-0800-00004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202" authorId="0" shapeId="0" xr:uid="{00000000-0006-0000-0800-00004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207" authorId="0" shapeId="0" xr:uid="{00000000-0006-0000-0800-00004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208" authorId="0" shapeId="0" xr:uid="{00000000-0006-0000-0800-00004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14" authorId="0" shapeId="0" xr:uid="{00000000-0006-0000-0800-00004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19" authorId="0" shapeId="0" xr:uid="{00000000-0006-0000-0800-00004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24" authorId="0" shapeId="0" xr:uid="{00000000-0006-0000-0800-00004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29" authorId="0" shapeId="0" xr:uid="{00000000-0006-0000-0800-00004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34" authorId="0" shapeId="0" xr:uid="{00000000-0006-0000-0800-00004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239" authorId="0" shapeId="0" xr:uid="{00000000-0006-0000-0800-00004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244" authorId="0" shapeId="0" xr:uid="{00000000-0006-0000-0800-00004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249" authorId="0" shapeId="0" xr:uid="{00000000-0006-0000-0800-00004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254" authorId="0" shapeId="0" xr:uid="{00000000-0006-0000-0800-00005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354" authorId="0" shapeId="0" xr:uid="{00000000-0006-0000-0800-00005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355" authorId="0" shapeId="0" xr:uid="{00000000-0006-0000-0800-00005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56" authorId="0" shapeId="0" xr:uid="{00000000-0006-0000-0800-00005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60" authorId="0" shapeId="0" xr:uid="{00000000-0006-0000-0800-00005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61" authorId="0" shapeId="0" xr:uid="{00000000-0006-0000-0800-00005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362" authorId="0" shapeId="0" xr:uid="{00000000-0006-0000-0800-00005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63" authorId="0" shapeId="0" xr:uid="{00000000-0006-0000-0800-00005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30GB
100GB</t>
        </r>
      </text>
    </comment>
    <comment ref="R364" authorId="0" shapeId="0" xr:uid="{00000000-0006-0000-0800-00005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65" authorId="0" shapeId="0" xr:uid="{00000000-0006-0000-0800-00005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</t>
        </r>
      </text>
    </comment>
    <comment ref="R366" authorId="0" shapeId="0" xr:uid="{00000000-0006-0000-0800-00005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50GB
200GB</t>
        </r>
      </text>
    </comment>
    <comment ref="R367" authorId="0" shapeId="0" xr:uid="{00000000-0006-0000-0800-00005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50GB
100GB</t>
        </r>
      </text>
    </comment>
    <comment ref="R368" authorId="0" shapeId="0" xr:uid="{00000000-0006-0000-0800-00005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369" authorId="0" shapeId="0" xr:uid="{00000000-0006-0000-0800-00005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R370" authorId="0" shapeId="0" xr:uid="{00000000-0006-0000-0800-00005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72" authorId="0" shapeId="0" xr:uid="{00000000-0006-0000-0800-00005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73" authorId="0" shapeId="0" xr:uid="{00000000-0006-0000-0800-00006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74" authorId="0" shapeId="0" xr:uid="{00000000-0006-0000-0800-00006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75" authorId="0" shapeId="0" xr:uid="{00000000-0006-0000-0800-00006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76" authorId="0" shapeId="0" xr:uid="{00000000-0006-0000-0800-00006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377" authorId="0" shapeId="0" xr:uid="{00000000-0006-0000-0800-00006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79" authorId="0" shapeId="0" xr:uid="{00000000-0006-0000-0800-00006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80" authorId="0" shapeId="0" xr:uid="{00000000-0006-0000-0800-00006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81" authorId="0" shapeId="0" xr:uid="{00000000-0006-0000-0800-00006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382" authorId="0" shapeId="0" xr:uid="{00000000-0006-0000-0800-00006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383" authorId="0" shapeId="0" xr:uid="{00000000-0006-0000-0800-00006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200GB
300GB</t>
        </r>
      </text>
    </comment>
    <comment ref="R384" authorId="0" shapeId="0" xr:uid="{00000000-0006-0000-0800-00006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R385" authorId="0" shapeId="0" xr:uid="{00000000-0006-0000-0800-00006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386" authorId="0" shapeId="0" xr:uid="{00000000-0006-0000-0800-00006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389" authorId="0" shapeId="0" xr:uid="{00000000-0006-0000-0800-00006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391" authorId="0" shapeId="0" xr:uid="{00000000-0006-0000-0800-00006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394" authorId="0" shapeId="0" xr:uid="{00000000-0006-0000-0800-00006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396" authorId="0" shapeId="0" xr:uid="{00000000-0006-0000-0800-00007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397" authorId="0" shapeId="0" xr:uid="{00000000-0006-0000-0800-00007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dpapiap01</t>
        </r>
      </text>
    </comment>
    <comment ref="I398" authorId="0" shapeId="0" xr:uid="{00000000-0006-0000-0800-00007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dpesb02</t>
        </r>
      </text>
    </comment>
    <comment ref="D399" authorId="0" shapeId="0" xr:uid="{00000000-0006-0000-0800-00007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04" authorId="0" shapeId="0" xr:uid="{00000000-0006-0000-0800-00007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06" authorId="0" shapeId="0" xr:uid="{00000000-0006-0000-0800-00007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407" authorId="0" shapeId="0" xr:uid="{00000000-0006-0000-0800-00007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dpesb02</t>
        </r>
      </text>
    </comment>
    <comment ref="D408" authorId="0" shapeId="0" xr:uid="{00000000-0006-0000-0800-00007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12" authorId="0" shapeId="0" xr:uid="{00000000-0006-0000-0800-00007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14" authorId="0" shapeId="0" xr:uid="{00000000-0006-0000-0800-00007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15" authorId="0" shapeId="0" xr:uid="{00000000-0006-0000-0800-00007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416" authorId="0" shapeId="0" xr:uid="{00000000-0006-0000-0800-00007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dpapiap03</t>
        </r>
      </text>
    </comment>
    <comment ref="D417" authorId="0" shapeId="0" xr:uid="{00000000-0006-0000-0800-00007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21" authorId="0" shapeId="0" xr:uid="{00000000-0006-0000-0800-00007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22" authorId="0" shapeId="0" xr:uid="{00000000-0006-0000-0800-00007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23" authorId="0" shapeId="0" xr:uid="{00000000-0006-0000-0800-00007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R427" authorId="0" shapeId="0" xr:uid="{00000000-0006-0000-0800-00008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R428" authorId="0" shapeId="0" xr:uid="{00000000-0006-0000-0800-00008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I429" authorId="0" shapeId="0" xr:uid="{00000000-0006-0000-0800-00008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dpfbem01</t>
        </r>
      </text>
    </comment>
    <comment ref="D430" authorId="0" shapeId="0" xr:uid="{00000000-0006-0000-0800-00008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35" authorId="0" shapeId="0" xr:uid="{00000000-0006-0000-0800-00008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438" authorId="0" shapeId="0" xr:uid="{00000000-0006-0000-0800-00008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dpweb03</t>
        </r>
      </text>
    </comment>
    <comment ref="D440" authorId="0" shapeId="0" xr:uid="{00000000-0006-0000-0800-00008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443" authorId="0" shapeId="0" xr:uid="{00000000-0006-0000-0800-00008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dpapiweb01</t>
        </r>
      </text>
    </comment>
    <comment ref="I444" authorId="0" shapeId="0" xr:uid="{00000000-0006-0000-0800-00008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dpapiweb03</t>
        </r>
      </text>
    </comment>
    <comment ref="I445" authorId="0" shapeId="0" xr:uid="{00000000-0006-0000-0800-00008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dpweb04</t>
        </r>
      </text>
    </comment>
    <comment ref="D447" authorId="0" shapeId="0" xr:uid="{00000000-0006-0000-0800-00008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54" authorId="0" shapeId="0" xr:uid="{00000000-0006-0000-0800-00008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I455" authorId="0" shapeId="0" xr:uid="{00000000-0006-0000-0800-00008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不在主機清單裡面</t>
        </r>
      </text>
    </comment>
    <comment ref="D460" authorId="0" shapeId="0" xr:uid="{00000000-0006-0000-0800-00008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466" authorId="0" shapeId="0" xr:uid="{00000000-0006-0000-0800-00008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469" authorId="0" shapeId="0" xr:uid="{00000000-0006-0000-0800-00008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40GB</t>
        </r>
      </text>
    </comment>
    <comment ref="D472" authorId="0" shapeId="0" xr:uid="{00000000-0006-0000-0800-00009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R475" authorId="0" shapeId="0" xr:uid="{00000000-0006-0000-0800-00009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40GB
100GB</t>
        </r>
      </text>
    </comment>
    <comment ref="D477" authorId="0" shapeId="0" xr:uid="{00000000-0006-0000-0800-00009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x5650 2.66GHz 6C</t>
        </r>
      </text>
    </comment>
    <comment ref="D482" authorId="0" shapeId="0" xr:uid="{00000000-0006-0000-0800-00009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87" authorId="0" shapeId="0" xr:uid="{00000000-0006-0000-0800-00009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x5660 2.8GHz 6C</t>
        </r>
      </text>
    </comment>
    <comment ref="D492" authorId="0" shapeId="0" xr:uid="{00000000-0006-0000-0800-00009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  <comment ref="D497" authorId="0" shapeId="0" xr:uid="{00000000-0006-0000-0800-00009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Intel Xeon x7560 2.26GHz 8C</t>
        </r>
      </text>
    </comment>
  </commentList>
</comments>
</file>

<file path=xl/sharedStrings.xml><?xml version="1.0" encoding="utf-8"?>
<sst xmlns="http://schemas.openxmlformats.org/spreadsheetml/2006/main" count="10360" uniqueCount="3076">
  <si>
    <t>窗口業主</t>
    <phoneticPr fontId="9" type="noConversion"/>
  </si>
  <si>
    <t>[host]
主機名稱</t>
    <phoneticPr fontId="9" type="noConversion"/>
  </si>
  <si>
    <t>[host]
OS名稱</t>
    <phoneticPr fontId="9" type="noConversion"/>
  </si>
  <si>
    <t>[host]
OS版本</t>
    <phoneticPr fontId="9" type="noConversion"/>
  </si>
  <si>
    <t>[host]
環境</t>
    <phoneticPr fontId="9" type="noConversion"/>
  </si>
  <si>
    <t>[host]
區域</t>
    <phoneticPr fontId="9" type="noConversion"/>
  </si>
  <si>
    <t>[host]
服務群組</t>
    <phoneticPr fontId="9" type="noConversion"/>
  </si>
  <si>
    <t>[host]
VM Template使用版本</t>
    <phoneticPr fontId="9" type="noConversion"/>
  </si>
  <si>
    <t>[host]
負責人</t>
    <phoneticPr fontId="9" type="noConversion"/>
  </si>
  <si>
    <t>[host]
功能說明</t>
    <phoneticPr fontId="9" type="noConversion"/>
  </si>
  <si>
    <t>[host]
安裝軟體</t>
    <phoneticPr fontId="9" type="noConversion"/>
  </si>
  <si>
    <t>[host]
CPU(core)</t>
    <phoneticPr fontId="9" type="noConversion"/>
  </si>
  <si>
    <t>[host]
RAM(GB)</t>
    <phoneticPr fontId="9" type="noConversion"/>
  </si>
  <si>
    <t>[host]
本機磁碟(GB)</t>
    <phoneticPr fontId="9" type="noConversion"/>
  </si>
  <si>
    <t>[host]
nfs磁碟(GB)</t>
    <phoneticPr fontId="9" type="noConversion"/>
  </si>
  <si>
    <t>[host]
IP Address</t>
    <phoneticPr fontId="9" type="noConversion"/>
  </si>
  <si>
    <t>[host]
服務Port</t>
    <phoneticPr fontId="9" type="noConversion"/>
  </si>
  <si>
    <t>建立日期</t>
    <phoneticPr fontId="9" type="noConversion"/>
  </si>
  <si>
    <t>[host]
VIP</t>
    <phoneticPr fontId="9" type="noConversion"/>
  </si>
  <si>
    <t>[k8s]
k8s主機label</t>
    <phoneticPr fontId="9" type="noConversion"/>
  </si>
  <si>
    <t>[ansible]
是否加入ansible</t>
    <phoneticPr fontId="9" type="noConversion"/>
  </si>
  <si>
    <t>[ansible]
ansible更新版號</t>
    <phoneticPr fontId="9" type="noConversion"/>
  </si>
  <si>
    <t>[ansible]
ansible label</t>
    <phoneticPr fontId="9" type="noConversion"/>
  </si>
  <si>
    <t>[host]
Public IP</t>
    <phoneticPr fontId="9" type="noConversion"/>
  </si>
  <si>
    <t>[host]
機櫃位置
(AG02、AG03、AF02)</t>
    <phoneticPr fontId="9" type="noConversion"/>
  </si>
  <si>
    <t>[host]
網路Port</t>
    <phoneticPr fontId="9" type="noConversion"/>
  </si>
  <si>
    <t>[host]
線號</t>
    <phoneticPr fontId="9" type="noConversion"/>
  </si>
  <si>
    <t>[host]
附註</t>
    <phoneticPr fontId="9" type="noConversion"/>
  </si>
  <si>
    <t>SPRFDB01</t>
  </si>
  <si>
    <t>RHEL</t>
  </si>
  <si>
    <t>正式環境</t>
  </si>
  <si>
    <t>DB</t>
  </si>
  <si>
    <t>Oracle</t>
  </si>
  <si>
    <t>　</t>
  </si>
  <si>
    <t>劉齊祥</t>
  </si>
  <si>
    <t>稅務資料庫(中心)-OLTPFDC Primary</t>
    <phoneticPr fontId="9" type="noConversion"/>
  </si>
  <si>
    <t>Oracle Database ：19.x</t>
  </si>
  <si>
    <t>SPRFDB02</t>
  </si>
  <si>
    <t>稅務資料庫(中心)-OLTPFDC Standby</t>
  </si>
  <si>
    <t>SPRADB01</t>
  </si>
  <si>
    <t>稅務資料庫(北國)-OLTPA05 Primary</t>
  </si>
  <si>
    <t>SPRADB02</t>
  </si>
  <si>
    <t>稅務資料庫(北國)-OLTPA05 Standby</t>
  </si>
  <si>
    <t>SPRHDB01</t>
  </si>
  <si>
    <t>稅務資料庫(北區)-OLTPH01 Primary</t>
  </si>
  <si>
    <t>SPRHDB02</t>
  </si>
  <si>
    <t>稅務資料庫(北區)-OLTPH01 Standby</t>
  </si>
  <si>
    <t>SPRBDB01</t>
  </si>
  <si>
    <t>稅務資料庫(中區)-OLTPB01 Primary</t>
  </si>
  <si>
    <t>SPRBDB02</t>
  </si>
  <si>
    <t>稅務資料庫(中區)-OLTPB01 Standby</t>
  </si>
  <si>
    <t>SPRDDB01</t>
  </si>
  <si>
    <t>稅務資料庫(南區)-OLTPD01 Primary</t>
  </si>
  <si>
    <t>SPRDDB02</t>
  </si>
  <si>
    <t>稅務資料庫(南區)-OLTPD01 Standby</t>
  </si>
  <si>
    <t>SPREDB01</t>
  </si>
  <si>
    <t>稅務資料庫(高國)-OLTPE01 Primary</t>
  </si>
  <si>
    <t>SPREDB02</t>
  </si>
  <si>
    <t>稅務資料庫(高國)-OLTPE01 Standby</t>
  </si>
  <si>
    <t>SPRFDB03</t>
  </si>
  <si>
    <t>電子表單資料庫-QIZFDC Primary</t>
  </si>
  <si>
    <t>SPRFDB04</t>
  </si>
  <si>
    <t>電子表單資料庫-QIZFDC Standby</t>
  </si>
  <si>
    <t>SPRFDB05</t>
  </si>
  <si>
    <t>EIP/KM資料庫 Primary</t>
  </si>
  <si>
    <t>SPRFDB06</t>
  </si>
  <si>
    <t>EIP/KM資料庫-EIPFDC Standby</t>
  </si>
  <si>
    <t>SPRFDB07</t>
  </si>
  <si>
    <t>影像資料庫-JMGFDC Primary</t>
  </si>
  <si>
    <t>SPRFDB08</t>
  </si>
  <si>
    <t>影像資料庫-JMGFDC Standby</t>
  </si>
  <si>
    <t>SPMITM01</t>
    <phoneticPr fontId="9" type="noConversion"/>
  </si>
  <si>
    <t>內網管理區</t>
    <phoneticPr fontId="9" type="noConversion"/>
  </si>
  <si>
    <t>監控</t>
  </si>
  <si>
    <t>林明瑩</t>
  </si>
  <si>
    <t>作業系統資源監控、資料庫資源監控、事件整合主控臺</t>
  </si>
  <si>
    <t>OBM - Gateway</t>
  </si>
  <si>
    <t>SPMITM02</t>
  </si>
  <si>
    <t>OBM - DPS + Embedded Postgresql</t>
  </si>
  <si>
    <t>SPMITM03</t>
    <phoneticPr fontId="9" type="noConversion"/>
  </si>
  <si>
    <t>Windows</t>
  </si>
  <si>
    <t>作業系統資源監控、資料庫資源監控、應用程式監控-效能及回應時間</t>
  </si>
  <si>
    <t>SiteScope</t>
  </si>
  <si>
    <t>SPMITM04</t>
    <phoneticPr fontId="9" type="noConversion"/>
  </si>
  <si>
    <t>作業系統資源監控</t>
  </si>
  <si>
    <t>Integration Hub</t>
  </si>
  <si>
    <t>SPMITM05</t>
    <phoneticPr fontId="9" type="noConversion"/>
  </si>
  <si>
    <t>IT儀表版</t>
  </si>
  <si>
    <t>BVD/COSO</t>
  </si>
  <si>
    <t>SPMITM06</t>
    <phoneticPr fontId="9" type="noConversion"/>
  </si>
  <si>
    <t>Vertica DB (for COSO)</t>
  </si>
  <si>
    <t>SPMITM07</t>
    <phoneticPr fontId="9" type="noConversion"/>
  </si>
  <si>
    <t>應用程式監控、應用程式監控-效能及回應時間</t>
  </si>
  <si>
    <t>AppDynamics Controller + MySQL</t>
  </si>
  <si>
    <t>SPMITM08</t>
    <phoneticPr fontId="9" type="noConversion"/>
  </si>
  <si>
    <t>自動化</t>
  </si>
  <si>
    <t>自動化維運</t>
  </si>
  <si>
    <t>Operations Orchestration/RPA</t>
  </si>
  <si>
    <t>SPMCMD01</t>
  </si>
  <si>
    <t>組態</t>
  </si>
  <si>
    <t>組態管理伺服器、組態管理資料庫</t>
  </si>
  <si>
    <t>uCMDB Server + Postgresql</t>
  </si>
  <si>
    <t>SPMCMD02</t>
  </si>
  <si>
    <t>uCMDB Probe</t>
  </si>
  <si>
    <t>SPMCMD03</t>
  </si>
  <si>
    <t>Service Manager + Postgresql</t>
  </si>
  <si>
    <t>SPOITM01</t>
  </si>
  <si>
    <t>外網管理區</t>
    <phoneticPr fontId="9" type="noConversion"/>
  </si>
  <si>
    <t>OBM + Embedded Postgresql</t>
  </si>
  <si>
    <t>SPOITM02</t>
  </si>
  <si>
    <t>SPOITM03</t>
  </si>
  <si>
    <t>SPOITM04</t>
  </si>
  <si>
    <t>SPOITM05</t>
  </si>
  <si>
    <t>SPOCMD01</t>
  </si>
  <si>
    <t>SPOCMD02</t>
  </si>
  <si>
    <t>SPOCMD03</t>
  </si>
  <si>
    <t>SPOCON01</t>
    <phoneticPr fontId="9" type="noConversion"/>
  </si>
  <si>
    <t>RHEL</t>
    <phoneticPr fontId="9" type="noConversion"/>
  </si>
  <si>
    <t>容器化</t>
    <phoneticPr fontId="9" type="noConversion"/>
  </si>
  <si>
    <t>蘇煥琪</t>
    <phoneticPr fontId="9" type="noConversion"/>
  </si>
  <si>
    <t xml:space="preserve">WCS外網AP </t>
    <phoneticPr fontId="9" type="noConversion"/>
  </si>
  <si>
    <t>??</t>
    <phoneticPr fontId="9" type="noConversion"/>
  </si>
  <si>
    <t>SPOCON02</t>
    <phoneticPr fontId="9" type="noConversion"/>
  </si>
  <si>
    <t>WCS外網AP (備援)</t>
    <phoneticPr fontId="9" type="noConversion"/>
  </si>
  <si>
    <t>SPOMSD01</t>
    <phoneticPr fontId="9" type="noConversion"/>
  </si>
  <si>
    <t>Windows</t>
    <phoneticPr fontId="9" type="noConversion"/>
  </si>
  <si>
    <t>MSSQL</t>
    <phoneticPr fontId="9" type="noConversion"/>
  </si>
  <si>
    <t>WCS外網SQL Server</t>
    <phoneticPr fontId="9" type="noConversion"/>
  </si>
  <si>
    <t>SQL Server 2022</t>
    <phoneticPr fontId="9" type="noConversion"/>
  </si>
  <si>
    <t>SPOMSD02</t>
    <phoneticPr fontId="9" type="noConversion"/>
  </si>
  <si>
    <t>WCS外網SQL Server(備援)</t>
    <phoneticPr fontId="9" type="noConversion"/>
  </si>
  <si>
    <t>OK</t>
    <phoneticPr fontId="9" type="noConversion"/>
  </si>
  <si>
    <t>AD1</t>
    <phoneticPr fontId="9" type="noConversion"/>
  </si>
  <si>
    <t>TEMP01 先命名
(臨時VM,升級完可回收)</t>
    <phoneticPr fontId="9" type="noConversion"/>
  </si>
  <si>
    <t>AD(DNS)</t>
    <phoneticPr fontId="9" type="noConversion"/>
  </si>
  <si>
    <t>董顯稜</t>
    <phoneticPr fontId="9" type="noConversion"/>
  </si>
  <si>
    <t>內網中心AD(DNS)</t>
    <phoneticPr fontId="9" type="noConversion"/>
  </si>
  <si>
    <t>ens_srv:10.191.6.10</t>
    <phoneticPr fontId="9" type="noConversion"/>
  </si>
  <si>
    <t>114/1月 建立DNS供OCP</t>
    <phoneticPr fontId="9" type="noConversion"/>
  </si>
  <si>
    <t>CPU:12 core RAM:24
DISK:C:100/D:800</t>
    <phoneticPr fontId="9" type="noConversion"/>
  </si>
  <si>
    <t>AD2</t>
    <phoneticPr fontId="9" type="noConversion"/>
  </si>
  <si>
    <t>STSPLW001先命名
(後續我須保留調整STSPLW01)</t>
    <phoneticPr fontId="9" type="noConversion"/>
  </si>
  <si>
    <t>ens_srv:10.191.6.11</t>
    <phoneticPr fontId="9" type="noConversion"/>
  </si>
  <si>
    <t>AD3</t>
    <phoneticPr fontId="9" type="noConversion"/>
  </si>
  <si>
    <t>SPMADS01</t>
    <phoneticPr fontId="9" type="noConversion"/>
  </si>
  <si>
    <t>ens_srv:10.191.6.12</t>
    <phoneticPr fontId="9" type="noConversion"/>
  </si>
  <si>
    <t>AD4</t>
    <phoneticPr fontId="9" type="noConversion"/>
  </si>
  <si>
    <t>外網區(含實體隔離)</t>
    <phoneticPr fontId="9" type="noConversion"/>
  </si>
  <si>
    <t>外網中心AD(DNS)</t>
    <phoneticPr fontId="9" type="noConversion"/>
  </si>
  <si>
    <t>ens_srv:10.254.205.10</t>
    <phoneticPr fontId="9" type="noConversion"/>
  </si>
  <si>
    <t>AD5</t>
    <phoneticPr fontId="9" type="noConversion"/>
  </si>
  <si>
    <t>STSPOW222先命名
(後續我須保留調整STSPOW22)</t>
    <phoneticPr fontId="9" type="noConversion"/>
  </si>
  <si>
    <t>ens_srv:10.254.205.11</t>
    <phoneticPr fontId="9" type="noConversion"/>
  </si>
  <si>
    <t>AD6</t>
    <phoneticPr fontId="9" type="noConversion"/>
  </si>
  <si>
    <t>SPOADS01</t>
    <phoneticPr fontId="9" type="noConversion"/>
  </si>
  <si>
    <t>ens_srv:10.254.205.12</t>
    <phoneticPr fontId="9" type="noConversion"/>
  </si>
  <si>
    <t>AD7</t>
    <phoneticPr fontId="9" type="noConversion"/>
  </si>
  <si>
    <t>SPMADS02</t>
    <phoneticPr fontId="9" type="noConversion"/>
  </si>
  <si>
    <t>賴友川</t>
    <phoneticPr fontId="9" type="noConversion"/>
  </si>
  <si>
    <t>北國第三台AD(DNS)供YBD使用</t>
    <phoneticPr fontId="9" type="noConversion"/>
  </si>
  <si>
    <t>ens_srv:10.191.6.13</t>
    <phoneticPr fontId="9" type="noConversion"/>
  </si>
  <si>
    <t>114/6月 後建立</t>
    <phoneticPr fontId="9" type="noConversion"/>
  </si>
  <si>
    <t>AD8</t>
    <phoneticPr fontId="9" type="noConversion"/>
  </si>
  <si>
    <t>SPMADS03</t>
    <phoneticPr fontId="9" type="noConversion"/>
  </si>
  <si>
    <t>姜義彬</t>
    <phoneticPr fontId="9" type="noConversion"/>
  </si>
  <si>
    <t>北區第三台AD(DNS)供YBD使用</t>
    <phoneticPr fontId="9" type="noConversion"/>
  </si>
  <si>
    <t>ens_srv:10.191.6.14</t>
    <phoneticPr fontId="9" type="noConversion"/>
  </si>
  <si>
    <t>AD9</t>
    <phoneticPr fontId="9" type="noConversion"/>
  </si>
  <si>
    <t>SPMADS04</t>
    <phoneticPr fontId="9" type="noConversion"/>
  </si>
  <si>
    <t>張力中</t>
    <phoneticPr fontId="9" type="noConversion"/>
  </si>
  <si>
    <t>中區第三台AD(DNS)供YBD使用</t>
    <phoneticPr fontId="9" type="noConversion"/>
  </si>
  <si>
    <t>ens_srv:10.191.6.15</t>
    <phoneticPr fontId="9" type="noConversion"/>
  </si>
  <si>
    <t>AD10</t>
    <phoneticPr fontId="9" type="noConversion"/>
  </si>
  <si>
    <t>SPMADS05</t>
    <phoneticPr fontId="9" type="noConversion"/>
  </si>
  <si>
    <t>陳鍾綺</t>
    <phoneticPr fontId="9" type="noConversion"/>
  </si>
  <si>
    <t>南區第三台AD(DNS)供YBD使用</t>
    <phoneticPr fontId="9" type="noConversion"/>
  </si>
  <si>
    <t>ens_srv:10.191.6.16</t>
    <phoneticPr fontId="9" type="noConversion"/>
  </si>
  <si>
    <t>AD11</t>
    <phoneticPr fontId="9" type="noConversion"/>
  </si>
  <si>
    <t>SPMADS06</t>
    <phoneticPr fontId="9" type="noConversion"/>
  </si>
  <si>
    <t>吳冠賢</t>
    <phoneticPr fontId="9" type="noConversion"/>
  </si>
  <si>
    <t>高國第三台AD(DNS)供YBD使用</t>
    <phoneticPr fontId="9" type="noConversion"/>
  </si>
  <si>
    <t>ens_srv:10.191.6.17</t>
    <phoneticPr fontId="9" type="noConversion"/>
  </si>
  <si>
    <t>ITW</t>
    <phoneticPr fontId="9" type="noConversion"/>
  </si>
  <si>
    <t>NTP儀表板</t>
    <phoneticPr fontId="9" type="noConversion"/>
  </si>
  <si>
    <t>人豪配置</t>
    <phoneticPr fontId="9" type="noConversion"/>
  </si>
  <si>
    <t>IDM1</t>
    <phoneticPr fontId="9" type="noConversion"/>
  </si>
  <si>
    <t>SPOIDM01</t>
    <phoneticPr fontId="9" type="noConversion"/>
  </si>
  <si>
    <t>IDM</t>
    <phoneticPr fontId="9" type="noConversion"/>
  </si>
  <si>
    <t>何宗憲</t>
    <phoneticPr fontId="9" type="noConversion"/>
  </si>
  <si>
    <t>帳號整合</t>
    <phoneticPr fontId="9" type="noConversion"/>
  </si>
  <si>
    <t>ens_srv:10.254.167.25
ens_mgt:10.253.173.25</t>
    <phoneticPr fontId="9" type="noConversion"/>
  </si>
  <si>
    <t>CPU:12 core RAM:24
DISK:200</t>
    <phoneticPr fontId="9" type="noConversion"/>
  </si>
  <si>
    <t>翁緯宏</t>
    <phoneticPr fontId="9" type="noConversion"/>
  </si>
  <si>
    <t>IDM2</t>
    <phoneticPr fontId="9" type="noConversion"/>
  </si>
  <si>
    <t>SPMIDM01</t>
    <phoneticPr fontId="9" type="noConversion"/>
  </si>
  <si>
    <t>ens_srv:10.191.6.25
ens_mgt:10.253.173.25
ens_bak:10.191.26.25
ens_nfs:10.191.36.25</t>
    <phoneticPr fontId="9" type="noConversion"/>
  </si>
  <si>
    <t>翁緯宏OK</t>
    <phoneticPr fontId="9" type="noConversion"/>
  </si>
  <si>
    <t>WSUS1</t>
    <phoneticPr fontId="9" type="noConversion"/>
  </si>
  <si>
    <t>STSPLW008先命名
(後續我須保留調整STSPLW08)</t>
    <phoneticPr fontId="9" type="noConversion"/>
  </si>
  <si>
    <t>WSUS</t>
    <phoneticPr fontId="9" type="noConversion"/>
  </si>
  <si>
    <t>中心WSUS</t>
    <phoneticPr fontId="9" type="noConversion"/>
  </si>
  <si>
    <t>ens_srv:10.191.6.27
ens_mgt:10.253.173.27
ens_bak:10.191.26.27
ens_nfs:10.191.36.27</t>
  </si>
  <si>
    <t>114/1月 建立供OCP</t>
    <phoneticPr fontId="9" type="noConversion"/>
  </si>
  <si>
    <t>CPU:12 core RAM:24
DISK:C:100/D:500</t>
    <phoneticPr fontId="9" type="noConversion"/>
  </si>
  <si>
    <t>WSUS2</t>
    <phoneticPr fontId="9" type="noConversion"/>
  </si>
  <si>
    <t>STSPOW266先命名
(後續我須保留調整STSPOW26)</t>
    <phoneticPr fontId="9" type="noConversion"/>
  </si>
  <si>
    <t>ens_srv:10.254.205.27
ens_mgt:10.254.167.27</t>
  </si>
  <si>
    <t>YUM1</t>
    <phoneticPr fontId="9" type="noConversion"/>
  </si>
  <si>
    <t>SPOYUM01</t>
    <phoneticPr fontId="9" type="noConversion"/>
  </si>
  <si>
    <t>YUM</t>
    <phoneticPr fontId="9" type="noConversion"/>
  </si>
  <si>
    <t>ens_srv:10.254.205.29
ens_mgt:10.254.167.29</t>
    <phoneticPr fontId="9" type="noConversion"/>
  </si>
  <si>
    <t>114/1月 建立YUM供OCP</t>
    <phoneticPr fontId="9" type="noConversion"/>
  </si>
  <si>
    <t>CPU:4 core RAM:16
DISK:400</t>
    <phoneticPr fontId="9" type="noConversion"/>
  </si>
  <si>
    <t>李筱文</t>
    <phoneticPr fontId="9" type="noConversion"/>
  </si>
  <si>
    <t>YUM2</t>
    <phoneticPr fontId="9" type="noConversion"/>
  </si>
  <si>
    <t>SPMYUM01</t>
    <phoneticPr fontId="9" type="noConversion"/>
  </si>
  <si>
    <t>ens_srv:10.191.6.29
ens_mgt:10.253.173.29
ens_bak:10.191.2629
ens_nfs:10.191.36.29</t>
    <phoneticPr fontId="9" type="noConversion"/>
  </si>
  <si>
    <t>李筱文OK</t>
    <phoneticPr fontId="9" type="noConversion"/>
  </si>
  <si>
    <t>NTP1</t>
    <phoneticPr fontId="9" type="noConversion"/>
  </si>
  <si>
    <t>SPONTP01</t>
    <phoneticPr fontId="9" type="noConversion"/>
  </si>
  <si>
    <t>NTP</t>
    <phoneticPr fontId="9" type="noConversion"/>
  </si>
  <si>
    <t>ens_srv:10.254.205.19
ens_mgt:10.254.167.19</t>
    <phoneticPr fontId="9" type="noConversion"/>
  </si>
  <si>
    <t>114/1月 建立NTP供OCP</t>
    <phoneticPr fontId="9" type="noConversion"/>
  </si>
  <si>
    <t>CPU:4 core RAM:16
DISK:200</t>
    <phoneticPr fontId="9" type="noConversion"/>
  </si>
  <si>
    <t>NTP2</t>
    <phoneticPr fontId="9" type="noConversion"/>
  </si>
  <si>
    <t>SPMNTP01</t>
    <phoneticPr fontId="9" type="noConversion"/>
  </si>
  <si>
    <t>ens_srv:10.191.6.19
ens_mgt:10.253.173.19
ens_bak:10.191.26.19
ens_nfs:10.191.36.19</t>
  </si>
  <si>
    <t>內</t>
    <phoneticPr fontId="9" type="noConversion"/>
  </si>
  <si>
    <t>臨</t>
    <phoneticPr fontId="9" type="noConversion"/>
  </si>
  <si>
    <t>外</t>
    <phoneticPr fontId="9" type="noConversion"/>
  </si>
  <si>
    <t>AD</t>
    <phoneticPr fontId="9" type="noConversion"/>
  </si>
  <si>
    <t>N/A</t>
    <phoneticPr fontId="9" type="noConversion"/>
  </si>
  <si>
    <t>SSRFDB01</t>
  </si>
  <si>
    <t>異備環境</t>
  </si>
  <si>
    <t>稅務資料庫(中心)-OLTPFDC</t>
  </si>
  <si>
    <t>SSRADB01</t>
  </si>
  <si>
    <t>稅務資料庫(北國)-OLTPA05</t>
  </si>
  <si>
    <t>SSRHDB01</t>
  </si>
  <si>
    <t>稅務資料庫(北區)-OLTPH01</t>
  </si>
  <si>
    <t>SSRBDB01</t>
  </si>
  <si>
    <t>稅務資料庫(中區)-OLTPB01</t>
  </si>
  <si>
    <t>SSRDDB01</t>
  </si>
  <si>
    <t>稅務資料庫(南區)-OLTPD01</t>
  </si>
  <si>
    <t>SSREDB01</t>
  </si>
  <si>
    <t>稅務資料庫(高國)-OLTPE01</t>
  </si>
  <si>
    <t>SSRFDB03</t>
  </si>
  <si>
    <t>電子表單資料庫-QIZFDC</t>
  </si>
  <si>
    <t>SSRFDB05</t>
  </si>
  <si>
    <t>EIP/KM資料庫</t>
  </si>
  <si>
    <t>SSMITM01</t>
  </si>
  <si>
    <t>SSMITM02</t>
  </si>
  <si>
    <t>SSMITM03</t>
  </si>
  <si>
    <t>SSMITM04</t>
  </si>
  <si>
    <t>SSMITM05</t>
  </si>
  <si>
    <t>SSMITM06</t>
  </si>
  <si>
    <t>SSMITM07</t>
  </si>
  <si>
    <t>SSMITM08</t>
  </si>
  <si>
    <t>SSMCMD01</t>
  </si>
  <si>
    <t>SSMCMD02</t>
  </si>
  <si>
    <t>SSMCMD03</t>
  </si>
  <si>
    <t>SSOITM01</t>
  </si>
  <si>
    <t>SSOITM02</t>
  </si>
  <si>
    <t>SSOITM03</t>
  </si>
  <si>
    <t>SSOITM04</t>
  </si>
  <si>
    <t>SSOITM05</t>
  </si>
  <si>
    <t>SSOCMD01</t>
  </si>
  <si>
    <t>SSOCMD02</t>
  </si>
  <si>
    <t>SSOCMD03</t>
  </si>
  <si>
    <t>TEMP01 
(臨時VM,升級完可回收)</t>
    <phoneticPr fontId="9" type="noConversion"/>
  </si>
  <si>
    <t>異備環境</t>
    <phoneticPr fontId="9" type="noConversion"/>
  </si>
  <si>
    <t>中心異備AD(DNS)供OCP YBD使用</t>
    <phoneticPr fontId="9" type="noConversion"/>
  </si>
  <si>
    <t>ens_srv:10.193.6.10</t>
    <phoneticPr fontId="9" type="noConversion"/>
  </si>
  <si>
    <t>STSSIW199先命名
(後續我須保留調整STSSIW19)</t>
    <phoneticPr fontId="9" type="noConversion"/>
  </si>
  <si>
    <t>ens_srv:10.193.6.11</t>
    <phoneticPr fontId="9" type="noConversion"/>
  </si>
  <si>
    <t>SSMADS01</t>
    <phoneticPr fontId="9" type="noConversion"/>
  </si>
  <si>
    <t>ens_srv:10.193.6.12</t>
    <phoneticPr fontId="9" type="noConversion"/>
  </si>
  <si>
    <t>SSMADS02</t>
    <phoneticPr fontId="9" type="noConversion"/>
  </si>
  <si>
    <t>北國第四台AD(DNS)供YBD使用</t>
    <phoneticPr fontId="9" type="noConversion"/>
  </si>
  <si>
    <t>ens_srv:10.193.6.13</t>
    <phoneticPr fontId="9" type="noConversion"/>
  </si>
  <si>
    <t>SSMADS03</t>
    <phoneticPr fontId="9" type="noConversion"/>
  </si>
  <si>
    <t>北區第四台AD(DNS)供YBD使用</t>
    <phoneticPr fontId="9" type="noConversion"/>
  </si>
  <si>
    <t>ens_srv:10.193.6.14</t>
    <phoneticPr fontId="9" type="noConversion"/>
  </si>
  <si>
    <t>SSMADS04</t>
    <phoneticPr fontId="9" type="noConversion"/>
  </si>
  <si>
    <t>中區第四台AD(DNS)供YBD使用</t>
    <phoneticPr fontId="9" type="noConversion"/>
  </si>
  <si>
    <t>ens_srv:10.193.6.15</t>
    <phoneticPr fontId="9" type="noConversion"/>
  </si>
  <si>
    <t>SSMADS05</t>
    <phoneticPr fontId="9" type="noConversion"/>
  </si>
  <si>
    <t>南區第四台AD(DNS)供YBD使用</t>
    <phoneticPr fontId="9" type="noConversion"/>
  </si>
  <si>
    <t>ens_srv:10.193.6.16</t>
    <phoneticPr fontId="9" type="noConversion"/>
  </si>
  <si>
    <t>SSMADS06</t>
    <phoneticPr fontId="9" type="noConversion"/>
  </si>
  <si>
    <t>高國第四台AD(DNS)供YBD使用</t>
    <phoneticPr fontId="9" type="noConversion"/>
  </si>
  <si>
    <t>ens_srv:10.193.6.17</t>
    <phoneticPr fontId="9" type="noConversion"/>
  </si>
  <si>
    <t>SSOYUM01</t>
    <phoneticPr fontId="9" type="noConversion"/>
  </si>
  <si>
    <t>ens_srv:10.252.205.29
ens_mgt:10.252.167.29</t>
    <phoneticPr fontId="9" type="noConversion"/>
  </si>
  <si>
    <t>SSMYUM01</t>
    <phoneticPr fontId="9" type="noConversion"/>
  </si>
  <si>
    <t>ens_srv:10.193.6.29
ens_mgt:10.253.173.29
ens_bak:10.193.26.29
ens_nfs:10.193.36.29</t>
    <phoneticPr fontId="9" type="noConversion"/>
  </si>
  <si>
    <t>SSONTP01</t>
    <phoneticPr fontId="9" type="noConversion"/>
  </si>
  <si>
    <t>ens_srv:10.252.205.19
ens_mgt:10.252.167.19</t>
    <phoneticPr fontId="9" type="noConversion"/>
  </si>
  <si>
    <t>SSMNTP01</t>
    <phoneticPr fontId="9" type="noConversion"/>
  </si>
  <si>
    <t>ens_srv:10.193.6.19
ens_mgt:10.251.173.19
ens_bak:10.193.26.19
ens_nfs:10.193.36.19</t>
    <phoneticPr fontId="9" type="noConversion"/>
  </si>
  <si>
    <t>STRFDB01</t>
  </si>
  <si>
    <t>整測環境</t>
  </si>
  <si>
    <t>稅務資料庫(中心)-OLTPFDC Primary</t>
  </si>
  <si>
    <t>STRADB01</t>
  </si>
  <si>
    <t>STRHDB01</t>
  </si>
  <si>
    <t>STRBDB01</t>
  </si>
  <si>
    <t>STRDDB01</t>
  </si>
  <si>
    <t>STREDB01</t>
  </si>
  <si>
    <t>STMADS01</t>
    <phoneticPr fontId="9" type="noConversion"/>
  </si>
  <si>
    <t>中心整測AD(DNS)供帳號整合開發使用</t>
    <phoneticPr fontId="9" type="noConversion"/>
  </si>
  <si>
    <t>114/2月 建立供IDM YBD測試作業</t>
    <phoneticPr fontId="9" type="noConversion"/>
  </si>
  <si>
    <t>CPU:4 core RAM:12
DISK:C:100/D:100</t>
    <phoneticPr fontId="9" type="noConversion"/>
  </si>
  <si>
    <t>STMADS02</t>
    <phoneticPr fontId="9" type="noConversion"/>
  </si>
  <si>
    <t>STMADS03</t>
    <phoneticPr fontId="9" type="noConversion"/>
  </si>
  <si>
    <t>STMADS04</t>
    <phoneticPr fontId="9" type="noConversion"/>
  </si>
  <si>
    <t>STMADS05</t>
    <phoneticPr fontId="9" type="noConversion"/>
  </si>
  <si>
    <t>STMADS06</t>
    <phoneticPr fontId="9" type="noConversion"/>
  </si>
  <si>
    <t>STMADS07</t>
    <phoneticPr fontId="9" type="noConversion"/>
  </si>
  <si>
    <t>STOADS01</t>
    <phoneticPr fontId="9" type="noConversion"/>
  </si>
  <si>
    <t>STOIDM01</t>
    <phoneticPr fontId="9" type="noConversion"/>
  </si>
  <si>
    <t>ens_srv:10.252.205.239
ens_mgt:10.252.167.239</t>
    <phoneticPr fontId="9" type="noConversion"/>
  </si>
  <si>
    <t>CPU:4 core RAM:12
DISK:200</t>
    <phoneticPr fontId="9" type="noConversion"/>
  </si>
  <si>
    <t>STMIDM01</t>
    <phoneticPr fontId="9" type="noConversion"/>
  </si>
  <si>
    <t>n/A</t>
    <phoneticPr fontId="9" type="noConversion"/>
  </si>
  <si>
    <t>10.201.</t>
  </si>
  <si>
    <t>10.200.</t>
  </si>
  <si>
    <t>機櫃編號</t>
    <phoneticPr fontId="9" type="noConversion"/>
  </si>
  <si>
    <t>設備位置</t>
    <phoneticPr fontId="9" type="noConversion"/>
  </si>
  <si>
    <t>硬體設備型號</t>
  </si>
  <si>
    <t>硬體設備名稱</t>
    <phoneticPr fontId="9" type="noConversion"/>
  </si>
  <si>
    <t>IP Address</t>
    <phoneticPr fontId="9" type="noConversion"/>
  </si>
  <si>
    <t>OS名稱</t>
    <phoneticPr fontId="9" type="noConversion"/>
  </si>
  <si>
    <t>OS版本</t>
    <phoneticPr fontId="9" type="noConversion"/>
  </si>
  <si>
    <t>環境</t>
    <phoneticPr fontId="9" type="noConversion"/>
  </si>
  <si>
    <t>區域</t>
    <phoneticPr fontId="9" type="noConversion"/>
  </si>
  <si>
    <t>服務群組</t>
    <phoneticPr fontId="9" type="noConversion"/>
  </si>
  <si>
    <t>負責人</t>
    <phoneticPr fontId="9" type="noConversion"/>
  </si>
  <si>
    <t>功能說明</t>
    <phoneticPr fontId="9" type="noConversion"/>
  </si>
  <si>
    <t>軟體名稱</t>
    <phoneticPr fontId="9" type="noConversion"/>
  </si>
  <si>
    <t>軟體版本</t>
    <phoneticPr fontId="9" type="noConversion"/>
  </si>
  <si>
    <t>配置CPU(core)</t>
    <phoneticPr fontId="9" type="noConversion"/>
  </si>
  <si>
    <t>配置RAM(GB)</t>
    <phoneticPr fontId="9" type="noConversion"/>
  </si>
  <si>
    <t>服務Port</t>
    <phoneticPr fontId="9" type="noConversion"/>
  </si>
  <si>
    <t>VIP</t>
    <phoneticPr fontId="9" type="noConversion"/>
  </si>
  <si>
    <t>Public IP</t>
    <phoneticPr fontId="9" type="noConversion"/>
  </si>
  <si>
    <t>機櫃位置
(AG02、AG03、AF02)</t>
    <phoneticPr fontId="9" type="noConversion"/>
  </si>
  <si>
    <t>網路
Port</t>
    <phoneticPr fontId="9" type="noConversion"/>
  </si>
  <si>
    <t>線號</t>
    <phoneticPr fontId="9" type="noConversion"/>
  </si>
  <si>
    <t>附註</t>
  </si>
  <si>
    <t>AB-04</t>
    <phoneticPr fontId="9" type="noConversion"/>
  </si>
  <si>
    <t>11U~20U</t>
    <phoneticPr fontId="9" type="noConversion"/>
  </si>
  <si>
    <t>HPE SUS3200 Chassis</t>
  </si>
  <si>
    <t>SPRFDB01　</t>
    <phoneticPr fontId="9" type="noConversion"/>
  </si>
  <si>
    <t>ens_srv：10.191.5.11
ens_mgt：10.253.173.11
ens_bak：10.191.25.11
ens_nfs：10.191.35.11</t>
    <phoneticPr fontId="9" type="noConversion"/>
  </si>
  <si>
    <t>DB</t>
    <phoneticPr fontId="9" type="noConversion"/>
  </si>
  <si>
    <t>CPU64core，僅啟用32 core</t>
    <phoneticPr fontId="9" type="noConversion"/>
  </si>
  <si>
    <t>10.253.167.111</t>
    <phoneticPr fontId="9" type="noConversion"/>
  </si>
  <si>
    <t>INFRA　</t>
    <phoneticPr fontId="9" type="noConversion"/>
  </si>
  <si>
    <t>RMC管理用</t>
    <phoneticPr fontId="9" type="noConversion"/>
  </si>
  <si>
    <t>AC-05</t>
    <phoneticPr fontId="9" type="noConversion"/>
  </si>
  <si>
    <t>1U~5U</t>
    <phoneticPr fontId="9" type="noConversion"/>
  </si>
  <si>
    <t>SPIBAT01</t>
    <phoneticPr fontId="9" type="noConversion"/>
  </si>
  <si>
    <t>ens_srv：10.190.2.28
ens_mgt：10.253.171.28
ens_bak：10.190.22.28
ens_nfs：10.190.32.28</t>
    <phoneticPr fontId="9" type="noConversion"/>
  </si>
  <si>
    <t>9.X</t>
    <phoneticPr fontId="9" type="noConversion"/>
  </si>
  <si>
    <t>AP</t>
    <phoneticPr fontId="9" type="noConversion"/>
  </si>
  <si>
    <t>Java Batch批次主機</t>
    <phoneticPr fontId="9" type="noConversion"/>
  </si>
  <si>
    <t>10.253.167.128</t>
    <phoneticPr fontId="9" type="noConversion"/>
  </si>
  <si>
    <t>1U~10U</t>
    <phoneticPr fontId="9" type="noConversion"/>
  </si>
  <si>
    <t>SPRESS12</t>
    <phoneticPr fontId="9" type="noConversion"/>
  </si>
  <si>
    <t>10.253.167.12</t>
    <phoneticPr fontId="9" type="noConversion"/>
  </si>
  <si>
    <t>ESXi</t>
  </si>
  <si>
    <t>ESXi管理用</t>
    <phoneticPr fontId="9" type="noConversion"/>
  </si>
  <si>
    <t>10.253.167.112</t>
    <phoneticPr fontId="9" type="noConversion"/>
  </si>
  <si>
    <t>AB-03</t>
    <phoneticPr fontId="9" type="noConversion"/>
  </si>
  <si>
    <t>SPRESS13</t>
    <phoneticPr fontId="9" type="noConversion"/>
  </si>
  <si>
    <t>10.253.167.13</t>
    <phoneticPr fontId="9" type="noConversion"/>
  </si>
  <si>
    <t>10.253.167.113</t>
    <phoneticPr fontId="9" type="noConversion"/>
  </si>
  <si>
    <t>SPRESS14</t>
    <phoneticPr fontId="9" type="noConversion"/>
  </si>
  <si>
    <t>10.253.167.14</t>
    <phoneticPr fontId="9" type="noConversion"/>
  </si>
  <si>
    <t>10.253.167.114</t>
    <phoneticPr fontId="9" type="noConversion"/>
  </si>
  <si>
    <t>AB-02</t>
    <phoneticPr fontId="9" type="noConversion"/>
  </si>
  <si>
    <t>16U~20U</t>
    <phoneticPr fontId="9" type="noConversion"/>
  </si>
  <si>
    <t>SPRESS15</t>
    <phoneticPr fontId="9" type="noConversion"/>
  </si>
  <si>
    <t>10.253.167.15</t>
    <phoneticPr fontId="9" type="noConversion"/>
  </si>
  <si>
    <t>10.253.167.115</t>
    <phoneticPr fontId="9" type="noConversion"/>
  </si>
  <si>
    <t>11U~15U</t>
    <phoneticPr fontId="9" type="noConversion"/>
  </si>
  <si>
    <t>SPRESS16</t>
    <phoneticPr fontId="9" type="noConversion"/>
  </si>
  <si>
    <t>10.253.167.16</t>
    <phoneticPr fontId="9" type="noConversion"/>
  </si>
  <si>
    <t>6U~10U</t>
    <phoneticPr fontId="9" type="noConversion"/>
  </si>
  <si>
    <t>SPRESS17</t>
    <phoneticPr fontId="9" type="noConversion"/>
  </si>
  <si>
    <t>10.253.167.17</t>
    <phoneticPr fontId="9" type="noConversion"/>
  </si>
  <si>
    <t>10.253.167.117</t>
    <phoneticPr fontId="9" type="noConversion"/>
  </si>
  <si>
    <t>SPRESS18</t>
    <phoneticPr fontId="9" type="noConversion"/>
  </si>
  <si>
    <t>10.253.167.18</t>
    <phoneticPr fontId="9" type="noConversion"/>
  </si>
  <si>
    <t>10.253.167.118</t>
    <phoneticPr fontId="9" type="noConversion"/>
  </si>
  <si>
    <t>AC-07</t>
    <phoneticPr fontId="9" type="noConversion"/>
  </si>
  <si>
    <t>SPRESS21</t>
    <phoneticPr fontId="9" type="noConversion"/>
  </si>
  <si>
    <t>10.253.167.21</t>
    <phoneticPr fontId="9" type="noConversion"/>
  </si>
  <si>
    <t>10.253.167.121</t>
    <phoneticPr fontId="9" type="noConversion"/>
  </si>
  <si>
    <t>SPRESS22</t>
    <phoneticPr fontId="9" type="noConversion"/>
  </si>
  <si>
    <t>10.253.167.22</t>
    <phoneticPr fontId="9" type="noConversion"/>
  </si>
  <si>
    <t>10.253.167.122</t>
    <phoneticPr fontId="9" type="noConversion"/>
  </si>
  <si>
    <t>AC-06</t>
    <phoneticPr fontId="9" type="noConversion"/>
  </si>
  <si>
    <t>SPRESS23</t>
    <phoneticPr fontId="9" type="noConversion"/>
  </si>
  <si>
    <t>10.253.167.23</t>
    <phoneticPr fontId="9" type="noConversion"/>
  </si>
  <si>
    <t>10.253.167.123</t>
    <phoneticPr fontId="9" type="noConversion"/>
  </si>
  <si>
    <t>SPRESS24</t>
    <phoneticPr fontId="9" type="noConversion"/>
  </si>
  <si>
    <t>10.253.167.24</t>
    <phoneticPr fontId="9" type="noConversion"/>
  </si>
  <si>
    <t>10.253.167.124</t>
    <phoneticPr fontId="9" type="noConversion"/>
  </si>
  <si>
    <t>SPRESS25</t>
    <phoneticPr fontId="9" type="noConversion"/>
  </si>
  <si>
    <t>10.253.167.25</t>
    <phoneticPr fontId="9" type="noConversion"/>
  </si>
  <si>
    <t>10.253.167.125</t>
    <phoneticPr fontId="9" type="noConversion"/>
  </si>
  <si>
    <t>SPRESS26</t>
    <phoneticPr fontId="9" type="noConversion"/>
  </si>
  <si>
    <t>10.253.167.26</t>
    <phoneticPr fontId="9" type="noConversion"/>
  </si>
  <si>
    <t>10.253.167.126</t>
    <phoneticPr fontId="9" type="noConversion"/>
  </si>
  <si>
    <t>SPRESS27</t>
    <phoneticPr fontId="9" type="noConversion"/>
  </si>
  <si>
    <t>10.253.167.27</t>
    <phoneticPr fontId="9" type="noConversion"/>
  </si>
  <si>
    <t>10.253.167.127</t>
    <phoneticPr fontId="9" type="noConversion"/>
  </si>
  <si>
    <t>X01</t>
    <phoneticPr fontId="9" type="noConversion"/>
  </si>
  <si>
    <t>16U~17U</t>
    <phoneticPr fontId="9" type="noConversion"/>
  </si>
  <si>
    <t>HPE DL380G11</t>
  </si>
  <si>
    <t>SPIWAP11</t>
    <phoneticPr fontId="9" type="noConversion"/>
  </si>
  <si>
    <t>ens_srv：10.190.3.41
ens_mgt：10.253.172.41
ens_bak：10.190.23.41
ens_nfs：10.190.33.41</t>
    <phoneticPr fontId="9" type="noConversion"/>
  </si>
  <si>
    <t>RHCOS</t>
    <phoneticPr fontId="9" type="noConversion"/>
  </si>
  <si>
    <t>OCP</t>
    <phoneticPr fontId="9" type="noConversion"/>
  </si>
  <si>
    <t>籃奕喬</t>
    <phoneticPr fontId="9" type="noConversion"/>
  </si>
  <si>
    <t>10.253.167.161</t>
    <phoneticPr fontId="9" type="noConversion"/>
  </si>
  <si>
    <t>iLO管理用</t>
  </si>
  <si>
    <t>13U~14U</t>
    <phoneticPr fontId="9" type="noConversion"/>
  </si>
  <si>
    <t>SPIWAP12</t>
    <phoneticPr fontId="9" type="noConversion"/>
  </si>
  <si>
    <t>ens_srv：10.190.3.42
ens_mgt：10.253.172.42
ens_bak：10.190.23.42
ens_nfs：10.190.33.42</t>
    <phoneticPr fontId="9" type="noConversion"/>
  </si>
  <si>
    <t>RHCOS</t>
  </si>
  <si>
    <t>10.253.167.162</t>
    <phoneticPr fontId="9" type="noConversion"/>
  </si>
  <si>
    <t>10U~11U</t>
    <phoneticPr fontId="9" type="noConversion"/>
  </si>
  <si>
    <t>SPIWAP13</t>
    <phoneticPr fontId="9" type="noConversion"/>
  </si>
  <si>
    <t>ens_srv：10.190.3.43
ens_mgt：10.253.172.43
ens_bak：10.190.23.43
ens_nfs：10.190.33.43</t>
    <phoneticPr fontId="9" type="noConversion"/>
  </si>
  <si>
    <t>10.253.167.163</t>
    <phoneticPr fontId="9" type="noConversion"/>
  </si>
  <si>
    <t>7U~8U</t>
    <phoneticPr fontId="9" type="noConversion"/>
  </si>
  <si>
    <t>SPIWAP14</t>
    <phoneticPr fontId="9" type="noConversion"/>
  </si>
  <si>
    <t>ens_srv：10.190.3.44
ens_mgt：10.253.172.44
ens_bak：10.190.23.44
ens_nfs：10.190.33.44</t>
    <phoneticPr fontId="9" type="noConversion"/>
  </si>
  <si>
    <t>10.253.167.164</t>
    <phoneticPr fontId="9" type="noConversion"/>
  </si>
  <si>
    <t>4U~5U</t>
    <phoneticPr fontId="9" type="noConversion"/>
  </si>
  <si>
    <t>SPIWAP15</t>
    <phoneticPr fontId="9" type="noConversion"/>
  </si>
  <si>
    <t>ens_srv：10.190.3.45
ens_mgt：10.253.172.45
ens_bak：10.190.23.45
ens_nfs：10.190.33.45</t>
    <phoneticPr fontId="9" type="noConversion"/>
  </si>
  <si>
    <t>10.253.167.165</t>
    <phoneticPr fontId="9" type="noConversion"/>
  </si>
  <si>
    <t>1U~2U</t>
    <phoneticPr fontId="9" type="noConversion"/>
  </si>
  <si>
    <t>SPIWAP16</t>
    <phoneticPr fontId="9" type="noConversion"/>
  </si>
  <si>
    <t>ens_srv：10.190.3.46
ens_mgt：10.253.172.46
ens_bak：10.190.23.46
ens_nfs：10.190.33.46</t>
    <phoneticPr fontId="9" type="noConversion"/>
  </si>
  <si>
    <t>10.253.167.166</t>
    <phoneticPr fontId="9" type="noConversion"/>
  </si>
  <si>
    <t>X02</t>
    <phoneticPr fontId="9" type="noConversion"/>
  </si>
  <si>
    <t>SPIWAP21</t>
    <phoneticPr fontId="9" type="noConversion"/>
  </si>
  <si>
    <t>ens_srv：10.190.3.71
ens_mgt：10.253.172.71
ens_bak：10.190.23.71
ens_nfs：10.190.33.71</t>
    <phoneticPr fontId="9" type="noConversion"/>
  </si>
  <si>
    <t>10.253.167.167</t>
    <phoneticPr fontId="9" type="noConversion"/>
  </si>
  <si>
    <t>SPIWAP22</t>
    <phoneticPr fontId="9" type="noConversion"/>
  </si>
  <si>
    <t>ens_srv：10.190.3.72
ens_mgt：10.253.172.72
ens_bak：10.190.23.72
ens_nfs：10.190.33.72</t>
    <phoneticPr fontId="9" type="noConversion"/>
  </si>
  <si>
    <t>10.253.167.168</t>
    <phoneticPr fontId="9" type="noConversion"/>
  </si>
  <si>
    <t>SPIWAP23</t>
    <phoneticPr fontId="9" type="noConversion"/>
  </si>
  <si>
    <t>ens_srv：10.190.3.73
ens_mgt：10.253.172.73
ens_bak：10.190.23.73
ens_nfs：10.190.33.73</t>
    <phoneticPr fontId="9" type="noConversion"/>
  </si>
  <si>
    <t>10.253.167.169</t>
    <phoneticPr fontId="9" type="noConversion"/>
  </si>
  <si>
    <t>SPIWAP24</t>
    <phoneticPr fontId="9" type="noConversion"/>
  </si>
  <si>
    <t>ens_srv：10.190.3.74
ens_mgt：10.253.172.74
ens_bak：10.190.23.74
ens_nfs：10.190.33.74</t>
    <phoneticPr fontId="9" type="noConversion"/>
  </si>
  <si>
    <t>10.253.167.170</t>
    <phoneticPr fontId="9" type="noConversion"/>
  </si>
  <si>
    <t>SPIWAP25</t>
    <phoneticPr fontId="9" type="noConversion"/>
  </si>
  <si>
    <t>ens_srv：10.190.3.75
ens_mgt：10.253.172.75
ens_bak：10.190.23.75
ens_nfs：10.190.33.75</t>
    <phoneticPr fontId="9" type="noConversion"/>
  </si>
  <si>
    <t>10.253.167.171</t>
    <phoneticPr fontId="9" type="noConversion"/>
  </si>
  <si>
    <t>SPIWAP26</t>
    <phoneticPr fontId="9" type="noConversion"/>
  </si>
  <si>
    <t>ens_srv：10.190.3.76
ens_mgt：10.253.172.76
ens_bak：10.190.23.76
ens_nfs：10.190.33.76</t>
    <phoneticPr fontId="9" type="noConversion"/>
  </si>
  <si>
    <t>10.253.167.172</t>
    <phoneticPr fontId="9" type="noConversion"/>
  </si>
  <si>
    <t>X03</t>
    <phoneticPr fontId="9" type="noConversion"/>
  </si>
  <si>
    <t>SPIESX01</t>
    <phoneticPr fontId="9" type="noConversion"/>
  </si>
  <si>
    <t>10.253.167.31</t>
    <phoneticPr fontId="9" type="noConversion"/>
  </si>
  <si>
    <t>10.253.167.131</t>
    <phoneticPr fontId="9" type="noConversion"/>
  </si>
  <si>
    <t>SPIESX02</t>
    <phoneticPr fontId="9" type="noConversion"/>
  </si>
  <si>
    <t>10.253.167.32</t>
    <phoneticPr fontId="9" type="noConversion"/>
  </si>
  <si>
    <t>10.253.167.132</t>
    <phoneticPr fontId="9" type="noConversion"/>
  </si>
  <si>
    <t>SPIESX03</t>
    <phoneticPr fontId="9" type="noConversion"/>
  </si>
  <si>
    <t>10.253.167.33</t>
    <phoneticPr fontId="9" type="noConversion"/>
  </si>
  <si>
    <t>10.253.167.133</t>
    <phoneticPr fontId="9" type="noConversion"/>
  </si>
  <si>
    <t>SPIESX04</t>
    <phoneticPr fontId="9" type="noConversion"/>
  </si>
  <si>
    <t>10.253.167.34</t>
    <phoneticPr fontId="9" type="noConversion"/>
  </si>
  <si>
    <t>10.253.167.134</t>
    <phoneticPr fontId="9" type="noConversion"/>
  </si>
  <si>
    <t>SPIESX05</t>
    <phoneticPr fontId="9" type="noConversion"/>
  </si>
  <si>
    <t>10.253.167.35</t>
    <phoneticPr fontId="9" type="noConversion"/>
  </si>
  <si>
    <t>10.253.167.135</t>
    <phoneticPr fontId="9" type="noConversion"/>
  </si>
  <si>
    <t>SPIESX06</t>
    <phoneticPr fontId="9" type="noConversion"/>
  </si>
  <si>
    <t>10.253.167.36</t>
    <phoneticPr fontId="9" type="noConversion"/>
  </si>
  <si>
    <t>10.253.167.136</t>
    <phoneticPr fontId="9" type="noConversion"/>
  </si>
  <si>
    <t>X04</t>
    <phoneticPr fontId="9" type="noConversion"/>
  </si>
  <si>
    <t>19U~20U</t>
    <phoneticPr fontId="9" type="noConversion"/>
  </si>
  <si>
    <t>SPIESX07</t>
    <phoneticPr fontId="9" type="noConversion"/>
  </si>
  <si>
    <t>10.253.167.37</t>
    <phoneticPr fontId="9" type="noConversion"/>
  </si>
  <si>
    <t>10.253.167.137</t>
    <phoneticPr fontId="9" type="noConversion"/>
  </si>
  <si>
    <t>SPIESX08</t>
    <phoneticPr fontId="9" type="noConversion"/>
  </si>
  <si>
    <t>10.253.167.38</t>
    <phoneticPr fontId="9" type="noConversion"/>
  </si>
  <si>
    <t>10.253.167.138</t>
    <phoneticPr fontId="9" type="noConversion"/>
  </si>
  <si>
    <t>SPIESX09</t>
    <phoneticPr fontId="9" type="noConversion"/>
  </si>
  <si>
    <t>10.253.167.39</t>
    <phoneticPr fontId="9" type="noConversion"/>
  </si>
  <si>
    <t>10.253.167.139</t>
    <phoneticPr fontId="9" type="noConversion"/>
  </si>
  <si>
    <t>SPIESX10</t>
    <phoneticPr fontId="9" type="noConversion"/>
  </si>
  <si>
    <t>10.253.167.40</t>
    <phoneticPr fontId="9" type="noConversion"/>
  </si>
  <si>
    <t>10.253.167.140</t>
    <phoneticPr fontId="9" type="noConversion"/>
  </si>
  <si>
    <t>SPIESX11</t>
    <phoneticPr fontId="9" type="noConversion"/>
  </si>
  <si>
    <t>10.253.167.41</t>
    <phoneticPr fontId="9" type="noConversion"/>
  </si>
  <si>
    <t>10.253.167.141</t>
    <phoneticPr fontId="9" type="noConversion"/>
  </si>
  <si>
    <t>SPIESX12</t>
    <phoneticPr fontId="9" type="noConversion"/>
  </si>
  <si>
    <t>10.253.167.42</t>
    <phoneticPr fontId="9" type="noConversion"/>
  </si>
  <si>
    <t>10.253.167.142</t>
    <phoneticPr fontId="9" type="noConversion"/>
  </si>
  <si>
    <t>SPIESX13</t>
    <phoneticPr fontId="9" type="noConversion"/>
  </si>
  <si>
    <t>10.253.167.43</t>
    <phoneticPr fontId="9" type="noConversion"/>
  </si>
  <si>
    <t>10.253.167.143</t>
    <phoneticPr fontId="9" type="noConversion"/>
  </si>
  <si>
    <t>X05</t>
    <phoneticPr fontId="9" type="noConversion"/>
  </si>
  <si>
    <t>SPIESX14</t>
    <phoneticPr fontId="9" type="noConversion"/>
  </si>
  <si>
    <t>10.253.167.44</t>
    <phoneticPr fontId="9" type="noConversion"/>
  </si>
  <si>
    <t>10.253.167.144</t>
    <phoneticPr fontId="9" type="noConversion"/>
  </si>
  <si>
    <t>SPIESX15</t>
    <phoneticPr fontId="9" type="noConversion"/>
  </si>
  <si>
    <t>10.253.167.45</t>
    <phoneticPr fontId="9" type="noConversion"/>
  </si>
  <si>
    <t>10.253.167.145</t>
    <phoneticPr fontId="9" type="noConversion"/>
  </si>
  <si>
    <t>SPIESX16</t>
    <phoneticPr fontId="9" type="noConversion"/>
  </si>
  <si>
    <t>10.253.167.46</t>
    <phoneticPr fontId="9" type="noConversion"/>
  </si>
  <si>
    <t>10.253.167.146</t>
    <phoneticPr fontId="9" type="noConversion"/>
  </si>
  <si>
    <t>SPIESX17</t>
    <phoneticPr fontId="9" type="noConversion"/>
  </si>
  <si>
    <t>10.253.167.47</t>
    <phoneticPr fontId="9" type="noConversion"/>
  </si>
  <si>
    <t>10.253.167.147</t>
    <phoneticPr fontId="9" type="noConversion"/>
  </si>
  <si>
    <t>SPRESX01</t>
    <phoneticPr fontId="9" type="noConversion"/>
  </si>
  <si>
    <t>10.253.167.55</t>
    <phoneticPr fontId="9" type="noConversion"/>
  </si>
  <si>
    <t>10.253.167.155</t>
    <phoneticPr fontId="9" type="noConversion"/>
  </si>
  <si>
    <t>SPRESX02</t>
    <phoneticPr fontId="9" type="noConversion"/>
  </si>
  <si>
    <t>10.253.167.56</t>
    <phoneticPr fontId="9" type="noConversion"/>
  </si>
  <si>
    <t>10.253.167.156</t>
    <phoneticPr fontId="9" type="noConversion"/>
  </si>
  <si>
    <t>SPRESX03</t>
    <phoneticPr fontId="9" type="noConversion"/>
  </si>
  <si>
    <t>10.253.167.57</t>
    <phoneticPr fontId="9" type="noConversion"/>
  </si>
  <si>
    <t>10.253.167.157</t>
    <phoneticPr fontId="9" type="noConversion"/>
  </si>
  <si>
    <t>AC-04</t>
    <phoneticPr fontId="9" type="noConversion"/>
  </si>
  <si>
    <t>SPIESX21</t>
    <phoneticPr fontId="9" type="noConversion"/>
  </si>
  <si>
    <t>10.253.167.48</t>
    <phoneticPr fontId="9" type="noConversion"/>
  </si>
  <si>
    <t>ESXi管理用(內網虛擬化P2V)</t>
    <phoneticPr fontId="9" type="noConversion"/>
  </si>
  <si>
    <t>10.253.167.148</t>
    <phoneticPr fontId="9" type="noConversion"/>
  </si>
  <si>
    <t>iLO管理用(內網虛擬化P2V)</t>
    <phoneticPr fontId="9" type="noConversion"/>
  </si>
  <si>
    <t>SPIESX22</t>
    <phoneticPr fontId="9" type="noConversion"/>
  </si>
  <si>
    <t>10.253.167.49</t>
    <phoneticPr fontId="9" type="noConversion"/>
  </si>
  <si>
    <t>10.253.167.149</t>
    <phoneticPr fontId="9" type="noConversion"/>
  </si>
  <si>
    <t>SPIESX23</t>
    <phoneticPr fontId="9" type="noConversion"/>
  </si>
  <si>
    <t>10.253.167.50</t>
    <phoneticPr fontId="9" type="noConversion"/>
  </si>
  <si>
    <t>10.253.167.150</t>
    <phoneticPr fontId="9" type="noConversion"/>
  </si>
  <si>
    <t>SIRESX24</t>
    <phoneticPr fontId="9" type="noConversion"/>
  </si>
  <si>
    <t>10.253.167.51</t>
    <phoneticPr fontId="9" type="noConversion"/>
  </si>
  <si>
    <t>10.253.167.151</t>
    <phoneticPr fontId="9" type="noConversion"/>
  </si>
  <si>
    <t>SIRESX25</t>
    <phoneticPr fontId="9" type="noConversion"/>
  </si>
  <si>
    <t>10.253.167.52</t>
    <phoneticPr fontId="9" type="noConversion"/>
  </si>
  <si>
    <t>10.253.167.152</t>
    <phoneticPr fontId="9" type="noConversion"/>
  </si>
  <si>
    <t>X07</t>
    <phoneticPr fontId="9" type="noConversion"/>
  </si>
  <si>
    <t>SPOESX01</t>
  </si>
  <si>
    <t>10.254.167.31</t>
    <phoneticPr fontId="9" type="noConversion"/>
  </si>
  <si>
    <t>iLO管理用</t>
    <phoneticPr fontId="9" type="noConversion"/>
  </si>
  <si>
    <t>SPOESX02</t>
  </si>
  <si>
    <t>10.254.167.32</t>
    <phoneticPr fontId="9" type="noConversion"/>
  </si>
  <si>
    <t>SPOESX03</t>
  </si>
  <si>
    <t>10.254.167.33</t>
    <phoneticPr fontId="9" type="noConversion"/>
  </si>
  <si>
    <t>SPOESX21</t>
  </si>
  <si>
    <t>10.254.167.34</t>
    <phoneticPr fontId="9" type="noConversion"/>
  </si>
  <si>
    <t>ESXi管理用(外網虛擬化P2V)</t>
    <phoneticPr fontId="9" type="noConversion"/>
  </si>
  <si>
    <t>iLO管理用(外網虛擬化P2V)</t>
    <phoneticPr fontId="9" type="noConversion"/>
  </si>
  <si>
    <t>SPOESX22</t>
  </si>
  <si>
    <t>10.254.167.35</t>
    <phoneticPr fontId="9" type="noConversion"/>
  </si>
  <si>
    <t>22U~23U</t>
    <phoneticPr fontId="9" type="noConversion"/>
  </si>
  <si>
    <t>p2vtmp01</t>
    <phoneticPr fontId="9" type="noConversion"/>
  </si>
  <si>
    <t>10.253.167.160</t>
    <phoneticPr fontId="9" type="noConversion"/>
  </si>
  <si>
    <t>iLO管理用(中介機)</t>
  </si>
  <si>
    <t>X06</t>
    <phoneticPr fontId="9" type="noConversion"/>
  </si>
  <si>
    <t>28U~29U</t>
    <phoneticPr fontId="9" type="noConversion"/>
  </si>
  <si>
    <t>Fujitsu RX2540</t>
    <phoneticPr fontId="9" type="noConversion"/>
  </si>
  <si>
    <t>SPIHPV01</t>
    <phoneticPr fontId="9" type="noConversion"/>
  </si>
  <si>
    <t>10.253.167.176</t>
    <phoneticPr fontId="9" type="noConversion"/>
  </si>
  <si>
    <t>HyperV</t>
    <phoneticPr fontId="9" type="noConversion"/>
  </si>
  <si>
    <t>25U~26U</t>
    <phoneticPr fontId="9" type="noConversion"/>
  </si>
  <si>
    <t>SPIHPV02</t>
    <phoneticPr fontId="9" type="noConversion"/>
  </si>
  <si>
    <t>10.253.167.177</t>
    <phoneticPr fontId="9" type="noConversion"/>
  </si>
  <si>
    <t>SPOHPV01</t>
    <phoneticPr fontId="9" type="noConversion"/>
  </si>
  <si>
    <t>10.254.167.176</t>
    <phoneticPr fontId="9" type="noConversion"/>
  </si>
  <si>
    <t>SPOHPV02</t>
    <phoneticPr fontId="9" type="noConversion"/>
  </si>
  <si>
    <t>10.254.167.177</t>
    <phoneticPr fontId="9" type="noConversion"/>
  </si>
  <si>
    <t>23U~24U</t>
    <phoneticPr fontId="9" type="noConversion"/>
  </si>
  <si>
    <t>NetApp AFF C250</t>
    <phoneticPr fontId="9" type="noConversion"/>
  </si>
  <si>
    <t>SPDNAS01</t>
    <phoneticPr fontId="9" type="noConversion"/>
  </si>
  <si>
    <t>10.253.167.181</t>
    <phoneticPr fontId="9" type="noConversion"/>
  </si>
  <si>
    <t>10.253.167.182</t>
    <phoneticPr fontId="9" type="noConversion"/>
  </si>
  <si>
    <t>10.253.167.185</t>
    <phoneticPr fontId="9" type="noConversion"/>
  </si>
  <si>
    <t>設備管理使用</t>
    <phoneticPr fontId="9" type="noConversion"/>
  </si>
  <si>
    <t>10.253.167.186</t>
    <phoneticPr fontId="9" type="noConversion"/>
  </si>
  <si>
    <t>10.253.167.187</t>
    <phoneticPr fontId="9" type="noConversion"/>
  </si>
  <si>
    <t>SPDNAS02</t>
    <phoneticPr fontId="9" type="noConversion"/>
  </si>
  <si>
    <t>10.253.167.183</t>
    <phoneticPr fontId="9" type="noConversion"/>
  </si>
  <si>
    <t>10.253.167.184</t>
    <phoneticPr fontId="9" type="noConversion"/>
  </si>
  <si>
    <t>10.253.167.188</t>
    <phoneticPr fontId="9" type="noConversion"/>
  </si>
  <si>
    <t>10.253.167.189</t>
    <phoneticPr fontId="9" type="noConversion"/>
  </si>
  <si>
    <t>22U~27U</t>
    <phoneticPr fontId="9" type="noConversion"/>
  </si>
  <si>
    <t>Alletra 9080</t>
  </si>
  <si>
    <t>SPDDSS01</t>
    <phoneticPr fontId="9" type="noConversion"/>
  </si>
  <si>
    <t>10.253.167.81</t>
    <phoneticPr fontId="9" type="noConversion"/>
  </si>
  <si>
    <t>SAN Storage管理埠</t>
    <phoneticPr fontId="9" type="noConversion"/>
  </si>
  <si>
    <t>10.191.58.81</t>
    <phoneticPr fontId="9" type="noConversion"/>
  </si>
  <si>
    <t>Mirror</t>
    <phoneticPr fontId="9" type="noConversion"/>
  </si>
  <si>
    <t>異地資料抄寫埠</t>
    <phoneticPr fontId="9" type="noConversion"/>
  </si>
  <si>
    <t>10.191.58.82</t>
    <phoneticPr fontId="9" type="noConversion"/>
  </si>
  <si>
    <t>SPDDSS02</t>
    <phoneticPr fontId="9" type="noConversion"/>
  </si>
  <si>
    <t>10.253.167.83</t>
    <phoneticPr fontId="9" type="noConversion"/>
  </si>
  <si>
    <t>10.191.58.83</t>
    <phoneticPr fontId="9" type="noConversion"/>
  </si>
  <si>
    <t>10.191.58.84</t>
    <phoneticPr fontId="9" type="noConversion"/>
  </si>
  <si>
    <t>34U~35U</t>
    <phoneticPr fontId="9" type="noConversion"/>
  </si>
  <si>
    <t>HPE SN6750B</t>
  </si>
  <si>
    <t>SPDSAN01</t>
    <phoneticPr fontId="9" type="noConversion"/>
  </si>
  <si>
    <t>10.253.167.85</t>
    <phoneticPr fontId="9" type="noConversion"/>
  </si>
  <si>
    <t>SAN Switch管理埠</t>
  </si>
  <si>
    <t>SPDSAN02</t>
    <phoneticPr fontId="9" type="noConversion"/>
  </si>
  <si>
    <t>10.253.167.86</t>
    <phoneticPr fontId="9" type="noConversion"/>
  </si>
  <si>
    <t>41U</t>
    <phoneticPr fontId="9" type="noConversion"/>
  </si>
  <si>
    <t>HPE SN6700B</t>
  </si>
  <si>
    <t>SPDSAN11</t>
    <phoneticPr fontId="9" type="noConversion"/>
  </si>
  <si>
    <t>10.253.167.87</t>
    <phoneticPr fontId="9" type="noConversion"/>
  </si>
  <si>
    <t>SPDSAN12</t>
    <phoneticPr fontId="9" type="noConversion"/>
  </si>
  <si>
    <t>10.253.167.88</t>
    <phoneticPr fontId="9" type="noConversion"/>
  </si>
  <si>
    <t>SPDSAN13</t>
    <phoneticPr fontId="9" type="noConversion"/>
  </si>
  <si>
    <t>10.253.167.89</t>
    <phoneticPr fontId="9" type="noConversion"/>
  </si>
  <si>
    <t>SPDSAN14</t>
    <phoneticPr fontId="9" type="noConversion"/>
  </si>
  <si>
    <t>10.253.167.90</t>
    <phoneticPr fontId="9" type="noConversion"/>
  </si>
  <si>
    <t>SAN Switch管理埠</t>
    <phoneticPr fontId="9" type="noConversion"/>
  </si>
  <si>
    <t>SPDNAS11</t>
    <phoneticPr fontId="9" type="noConversion"/>
  </si>
  <si>
    <t>10.253.167.190</t>
    <phoneticPr fontId="9" type="noConversion"/>
  </si>
  <si>
    <t>10.253.167.191</t>
    <phoneticPr fontId="9" type="noConversion"/>
  </si>
  <si>
    <t>10.253.167.192</t>
    <phoneticPr fontId="9" type="noConversion"/>
  </si>
  <si>
    <t>10.253.167.193</t>
    <phoneticPr fontId="9" type="noConversion"/>
  </si>
  <si>
    <t>10.253.167.194</t>
    <phoneticPr fontId="9" type="noConversion"/>
  </si>
  <si>
    <t>19U~26U</t>
    <phoneticPr fontId="9" type="noConversion"/>
  </si>
  <si>
    <t>NetApp FAS2820</t>
    <phoneticPr fontId="9" type="noConversion"/>
  </si>
  <si>
    <t>SPDNAS12</t>
    <phoneticPr fontId="9" type="noConversion"/>
  </si>
  <si>
    <t>10.253.167.195</t>
    <phoneticPr fontId="9" type="noConversion"/>
  </si>
  <si>
    <t>10.253.167.196</t>
    <phoneticPr fontId="9" type="noConversion"/>
  </si>
  <si>
    <t>10.253.167.197</t>
    <phoneticPr fontId="9" type="noConversion"/>
  </si>
  <si>
    <t>10.253.167.198</t>
    <phoneticPr fontId="9" type="noConversion"/>
  </si>
  <si>
    <t>10.253.167.199</t>
    <phoneticPr fontId="9" type="noConversion"/>
  </si>
  <si>
    <t>19U~28U</t>
    <phoneticPr fontId="9" type="noConversion"/>
  </si>
  <si>
    <t>SPDNAS21</t>
    <phoneticPr fontId="9" type="noConversion"/>
  </si>
  <si>
    <t>10.253.167.200</t>
    <phoneticPr fontId="9" type="noConversion"/>
  </si>
  <si>
    <t>10.253.167.201</t>
    <phoneticPr fontId="9" type="noConversion"/>
  </si>
  <si>
    <t>10.253.167.202</t>
    <phoneticPr fontId="9" type="noConversion"/>
  </si>
  <si>
    <t>10.253.167.203</t>
    <phoneticPr fontId="9" type="noConversion"/>
  </si>
  <si>
    <t>10.253.167.204</t>
    <phoneticPr fontId="9" type="noConversion"/>
  </si>
  <si>
    <t>37U</t>
    <phoneticPr fontId="9" type="noConversion"/>
  </si>
  <si>
    <t>Broadcom BES-53248</t>
  </si>
  <si>
    <t>10.253.167.205</t>
    <phoneticPr fontId="9" type="noConversion"/>
  </si>
  <si>
    <t>10.253.167.206</t>
    <phoneticPr fontId="9" type="noConversion"/>
  </si>
  <si>
    <t>1U~22U</t>
    <phoneticPr fontId="9" type="noConversion"/>
  </si>
  <si>
    <t>NetApp FAS8300</t>
    <phoneticPr fontId="9" type="noConversion"/>
  </si>
  <si>
    <t>SPDDSB01</t>
    <phoneticPr fontId="9" type="noConversion"/>
  </si>
  <si>
    <t>10.253.167.102</t>
    <phoneticPr fontId="9" type="noConversion"/>
  </si>
  <si>
    <t>10.253.167.103</t>
    <phoneticPr fontId="9" type="noConversion"/>
  </si>
  <si>
    <t>10.253.167.104</t>
    <phoneticPr fontId="9" type="noConversion"/>
  </si>
  <si>
    <t>10.253.167.105</t>
    <phoneticPr fontId="9" type="noConversion"/>
  </si>
  <si>
    <t>10.253.167.106</t>
    <phoneticPr fontId="9" type="noConversion"/>
  </si>
  <si>
    <t>21U</t>
    <phoneticPr fontId="9" type="noConversion"/>
  </si>
  <si>
    <t>HPE MSL Tape</t>
  </si>
  <si>
    <t>SPDTAP01</t>
    <phoneticPr fontId="9" type="noConversion"/>
  </si>
  <si>
    <t>10.253.167.91</t>
    <phoneticPr fontId="9" type="noConversion"/>
  </si>
  <si>
    <t>磁帶機管理埠</t>
    <phoneticPr fontId="9" type="noConversion"/>
  </si>
  <si>
    <t>28U</t>
    <phoneticPr fontId="9" type="noConversion"/>
  </si>
  <si>
    <t>SPDTAP02</t>
    <phoneticPr fontId="9" type="noConversion"/>
  </si>
  <si>
    <t>10.253.167.92</t>
    <phoneticPr fontId="9" type="noConversion"/>
  </si>
  <si>
    <t>SPDTAP03</t>
    <phoneticPr fontId="9" type="noConversion"/>
  </si>
  <si>
    <t>10.253.167.93</t>
    <phoneticPr fontId="9" type="noConversion"/>
  </si>
  <si>
    <t>SPDTAP04</t>
    <phoneticPr fontId="9" type="noConversion"/>
  </si>
  <si>
    <t>10.253.167.94</t>
    <phoneticPr fontId="9" type="noConversion"/>
  </si>
  <si>
    <t>W10</t>
    <phoneticPr fontId="9" type="noConversion"/>
  </si>
  <si>
    <t>1U~42U</t>
    <phoneticPr fontId="9" type="noConversion"/>
  </si>
  <si>
    <t>Quantum Scalar i6000</t>
  </si>
  <si>
    <t>SPDTLB01</t>
    <phoneticPr fontId="9" type="noConversion"/>
  </si>
  <si>
    <t>10.253.167.101</t>
    <phoneticPr fontId="9" type="noConversion"/>
  </si>
  <si>
    <t>甲級磁帶櫃管理埠</t>
    <phoneticPr fontId="9" type="noConversion"/>
  </si>
  <si>
    <t>31U</t>
    <phoneticPr fontId="9" type="noConversion"/>
  </si>
  <si>
    <t>保密器</t>
    <phoneticPr fontId="9" type="noConversion"/>
  </si>
  <si>
    <t>SPIHSM01</t>
    <phoneticPr fontId="9" type="noConversion"/>
  </si>
  <si>
    <t>Srv：10.190.2.211</t>
    <phoneticPr fontId="9" type="noConversion"/>
  </si>
  <si>
    <t>SPIHSM02</t>
    <phoneticPr fontId="9" type="noConversion"/>
  </si>
  <si>
    <t>Srv：10.190.2.212</t>
    <phoneticPr fontId="9" type="noConversion"/>
  </si>
  <si>
    <t>X08</t>
    <phoneticPr fontId="9" type="noConversion"/>
  </si>
  <si>
    <t>SSRESS11</t>
  </si>
  <si>
    <t>10.251.167.11</t>
    <phoneticPr fontId="9" type="noConversion"/>
  </si>
  <si>
    <t>備援環境</t>
  </si>
  <si>
    <t>10.251.167.111</t>
    <phoneticPr fontId="9" type="noConversion"/>
  </si>
  <si>
    <t>SSRESS12</t>
  </si>
  <si>
    <t>10.251.167.12</t>
    <phoneticPr fontId="9" type="noConversion"/>
  </si>
  <si>
    <t>10.251.167.112</t>
    <phoneticPr fontId="9" type="noConversion"/>
  </si>
  <si>
    <t>Y08</t>
    <phoneticPr fontId="9" type="noConversion"/>
  </si>
  <si>
    <t>SSRESS13</t>
  </si>
  <si>
    <t>10.251.167.13</t>
    <phoneticPr fontId="9" type="noConversion"/>
  </si>
  <si>
    <t>10.251.167.113</t>
    <phoneticPr fontId="9" type="noConversion"/>
  </si>
  <si>
    <t>SSRESS14</t>
  </si>
  <si>
    <t>10.251.167.14</t>
    <phoneticPr fontId="9" type="noConversion"/>
  </si>
  <si>
    <t>10.251.167.114</t>
    <phoneticPr fontId="9" type="noConversion"/>
  </si>
  <si>
    <t>Z08</t>
    <phoneticPr fontId="9" type="noConversion"/>
  </si>
  <si>
    <t>SSRESS15</t>
  </si>
  <si>
    <t>10.251.167.15</t>
    <phoneticPr fontId="9" type="noConversion"/>
  </si>
  <si>
    <t>10.251.167.115</t>
    <phoneticPr fontId="9" type="noConversion"/>
  </si>
  <si>
    <t>21U~25U</t>
    <phoneticPr fontId="9" type="noConversion"/>
  </si>
  <si>
    <t>SSRESS16</t>
  </si>
  <si>
    <t>10.251.167.16</t>
    <phoneticPr fontId="9" type="noConversion"/>
  </si>
  <si>
    <t>10.251.167.116</t>
    <phoneticPr fontId="9" type="noConversion"/>
  </si>
  <si>
    <t>STRESS11</t>
  </si>
  <si>
    <t>10.251.167.17</t>
    <phoneticPr fontId="9" type="noConversion"/>
  </si>
  <si>
    <t>10.251.167.117</t>
    <phoneticPr fontId="9" type="noConversion"/>
  </si>
  <si>
    <t>Y01</t>
    <phoneticPr fontId="9" type="noConversion"/>
  </si>
  <si>
    <t>SSIWAP11</t>
    <phoneticPr fontId="9" type="noConversion"/>
  </si>
  <si>
    <t>ens_srv：10.192.3.41
ens_mgt：10.251.172.41
ens_bak：10.193.23.41
ens_nfs：10.193.33.41</t>
    <phoneticPr fontId="9" type="noConversion"/>
  </si>
  <si>
    <t>10.251.167.161</t>
    <phoneticPr fontId="9" type="noConversion"/>
  </si>
  <si>
    <t>SSIWAP12</t>
    <phoneticPr fontId="9" type="noConversion"/>
  </si>
  <si>
    <t>ens_srv：10.192.3.42
ens_mgt：10.251.172.42
ens_bak：10.193.23.42
ens_nfs：10.193.33.42</t>
    <phoneticPr fontId="9" type="noConversion"/>
  </si>
  <si>
    <t>10.251.167.162</t>
    <phoneticPr fontId="9" type="noConversion"/>
  </si>
  <si>
    <t>SSIWAP13</t>
    <phoneticPr fontId="9" type="noConversion"/>
  </si>
  <si>
    <t>ens_srv：10.192.3.43
ens_mgt：10.251.172.43
ens_bak：10.193.23.43
ens_nfs：10.193.33.43</t>
    <phoneticPr fontId="9" type="noConversion"/>
  </si>
  <si>
    <t>10.251.167.163</t>
    <phoneticPr fontId="9" type="noConversion"/>
  </si>
  <si>
    <t>SSIWAP21</t>
    <phoneticPr fontId="9" type="noConversion"/>
  </si>
  <si>
    <t>ens_srv：10.192.3.71
ens_mgt：10.251.172.71
ens_bak：10.193.23.71
ens_nfs：10.193.33.71</t>
    <phoneticPr fontId="9" type="noConversion"/>
  </si>
  <si>
    <t>10.251.167.164</t>
    <phoneticPr fontId="9" type="noConversion"/>
  </si>
  <si>
    <t>SSIWAP22</t>
    <phoneticPr fontId="9" type="noConversion"/>
  </si>
  <si>
    <t>ens_srv：10.192.3.72
ens_mgt：10.251.172.72
ens_bak：10.193.23.72
ens_nfs：10.193.33.72</t>
    <phoneticPr fontId="9" type="noConversion"/>
  </si>
  <si>
    <t>10.251.167.165</t>
    <phoneticPr fontId="9" type="noConversion"/>
  </si>
  <si>
    <t>Y02</t>
    <phoneticPr fontId="9" type="noConversion"/>
  </si>
  <si>
    <t>SSIWAP23</t>
    <phoneticPr fontId="9" type="noConversion"/>
  </si>
  <si>
    <t>ens_srv：10.192.3.73
ens_mgt：10.251.172.73
ens_bak：10.193.23.73
ens_nfs：10.193.33.73</t>
    <phoneticPr fontId="9" type="noConversion"/>
  </si>
  <si>
    <t>10.251.167.166</t>
    <phoneticPr fontId="9" type="noConversion"/>
  </si>
  <si>
    <t>STIWAP11</t>
    <phoneticPr fontId="9" type="noConversion"/>
  </si>
  <si>
    <t>ens_srv：10.192.133.41
ens_mgt：10.251.160.41
ens_bak：10.193.153.41
ens_nfs：10.193.163.41</t>
    <phoneticPr fontId="9" type="noConversion"/>
  </si>
  <si>
    <t>10.251.167.167</t>
    <phoneticPr fontId="9" type="noConversion"/>
  </si>
  <si>
    <t>STIWAP12</t>
    <phoneticPr fontId="9" type="noConversion"/>
  </si>
  <si>
    <t>ens_srv：10.192.133.42
ens_mgt：10.251.160.42
ens_bak：10.193.153.42
ens_nfs：10.193.163.42</t>
    <phoneticPr fontId="9" type="noConversion"/>
  </si>
  <si>
    <t>10.251.167.168</t>
    <phoneticPr fontId="9" type="noConversion"/>
  </si>
  <si>
    <t>STIWAP21</t>
    <phoneticPr fontId="9" type="noConversion"/>
  </si>
  <si>
    <t>ens_srv：10.192.133.71
ens_mgt：10.251.160.71
ens_bak：10.193.153.71
ens_nfs：10.193.163.71</t>
    <phoneticPr fontId="9" type="noConversion"/>
  </si>
  <si>
    <t>10.251.167.169</t>
    <phoneticPr fontId="9" type="noConversion"/>
  </si>
  <si>
    <t>STIWAP22</t>
    <phoneticPr fontId="9" type="noConversion"/>
  </si>
  <si>
    <t>ens_srv：10.192.133.72
ens_mgt：10.251.160.72
ens_bak：10.193.153.72
ens_nfs：10.193.163.72</t>
    <phoneticPr fontId="9" type="noConversion"/>
  </si>
  <si>
    <t>10.251.167.170</t>
    <phoneticPr fontId="9" type="noConversion"/>
  </si>
  <si>
    <t>Y03</t>
    <phoneticPr fontId="9" type="noConversion"/>
  </si>
  <si>
    <t>SSIESX01</t>
    <phoneticPr fontId="9" type="noConversion"/>
  </si>
  <si>
    <t>10.251.167.31</t>
    <phoneticPr fontId="9" type="noConversion"/>
  </si>
  <si>
    <t>10.251.167.131</t>
    <phoneticPr fontId="9" type="noConversion"/>
  </si>
  <si>
    <t>SSIESX02</t>
    <phoneticPr fontId="9" type="noConversion"/>
  </si>
  <si>
    <t>10.251.167.32</t>
    <phoneticPr fontId="9" type="noConversion"/>
  </si>
  <si>
    <t>10.251.167.132</t>
    <phoneticPr fontId="9" type="noConversion"/>
  </si>
  <si>
    <t>SSIESX03</t>
    <phoneticPr fontId="9" type="noConversion"/>
  </si>
  <si>
    <t>10.251.167.33</t>
    <phoneticPr fontId="9" type="noConversion"/>
  </si>
  <si>
    <t>10.251.167.133</t>
    <phoneticPr fontId="9" type="noConversion"/>
  </si>
  <si>
    <t>SSIESX04</t>
    <phoneticPr fontId="9" type="noConversion"/>
  </si>
  <si>
    <t>10.251.167.34</t>
    <phoneticPr fontId="9" type="noConversion"/>
  </si>
  <si>
    <t>10.251.167.134</t>
    <phoneticPr fontId="9" type="noConversion"/>
  </si>
  <si>
    <t>SSIESX05</t>
    <phoneticPr fontId="9" type="noConversion"/>
  </si>
  <si>
    <t>10.251.167.35</t>
    <phoneticPr fontId="9" type="noConversion"/>
  </si>
  <si>
    <t>10.251.167.135</t>
    <phoneticPr fontId="9" type="noConversion"/>
  </si>
  <si>
    <t>Y04</t>
    <phoneticPr fontId="9" type="noConversion"/>
  </si>
  <si>
    <t>SSRESX01</t>
    <phoneticPr fontId="9" type="noConversion"/>
  </si>
  <si>
    <t>10.251.167.43</t>
    <phoneticPr fontId="9" type="noConversion"/>
  </si>
  <si>
    <t>10.251.167.143</t>
    <phoneticPr fontId="9" type="noConversion"/>
  </si>
  <si>
    <t>SSRESX02</t>
    <phoneticPr fontId="9" type="noConversion"/>
  </si>
  <si>
    <t>10.251.167.44</t>
    <phoneticPr fontId="9" type="noConversion"/>
  </si>
  <si>
    <t>10.251.167.144</t>
    <phoneticPr fontId="9" type="noConversion"/>
  </si>
  <si>
    <t>STIESX01</t>
    <phoneticPr fontId="9" type="noConversion"/>
  </si>
  <si>
    <t>10.251.167.51</t>
    <phoneticPr fontId="9" type="noConversion"/>
  </si>
  <si>
    <t>ESXi管理用(內網整測)</t>
    <phoneticPr fontId="9" type="noConversion"/>
  </si>
  <si>
    <t>10.251.167.151</t>
    <phoneticPr fontId="9" type="noConversion"/>
  </si>
  <si>
    <t>iLO管理用(內網整測)</t>
    <phoneticPr fontId="9" type="noConversion"/>
  </si>
  <si>
    <t>STIESX02</t>
    <phoneticPr fontId="9" type="noConversion"/>
  </si>
  <si>
    <t>10.251.167.52</t>
    <phoneticPr fontId="9" type="noConversion"/>
  </si>
  <si>
    <t>10.251.167.152</t>
    <phoneticPr fontId="9" type="noConversion"/>
  </si>
  <si>
    <t>STIESX03</t>
    <phoneticPr fontId="9" type="noConversion"/>
  </si>
  <si>
    <t>10.251.167.53</t>
    <phoneticPr fontId="9" type="noConversion"/>
  </si>
  <si>
    <t>10.251.167.153</t>
    <phoneticPr fontId="9" type="noConversion"/>
  </si>
  <si>
    <t>SSIESX21</t>
    <phoneticPr fontId="9" type="noConversion"/>
  </si>
  <si>
    <t>10.251.167.36</t>
    <phoneticPr fontId="9" type="noConversion"/>
  </si>
  <si>
    <t>10.251.167.136</t>
    <phoneticPr fontId="9" type="noConversion"/>
  </si>
  <si>
    <t>31U~32U</t>
    <phoneticPr fontId="9" type="noConversion"/>
  </si>
  <si>
    <t>SSIESX22</t>
    <phoneticPr fontId="9" type="noConversion"/>
  </si>
  <si>
    <t>10.251.167.37</t>
    <phoneticPr fontId="9" type="noConversion"/>
  </si>
  <si>
    <t>10.251.167.137</t>
    <phoneticPr fontId="9" type="noConversion"/>
  </si>
  <si>
    <t>SSIESX23</t>
    <phoneticPr fontId="9" type="noConversion"/>
  </si>
  <si>
    <t>10.251.167.38</t>
    <phoneticPr fontId="9" type="noConversion"/>
  </si>
  <si>
    <t>10.251.167.138</t>
    <phoneticPr fontId="9" type="noConversion"/>
  </si>
  <si>
    <t>SSIESX24</t>
    <phoneticPr fontId="9" type="noConversion"/>
  </si>
  <si>
    <t>10.251.167.39</t>
    <phoneticPr fontId="9" type="noConversion"/>
  </si>
  <si>
    <t>10.251.167.139</t>
    <phoneticPr fontId="9" type="noConversion"/>
  </si>
  <si>
    <t>SSIESX25</t>
    <phoneticPr fontId="9" type="noConversion"/>
  </si>
  <si>
    <t>10.251.167.40</t>
    <phoneticPr fontId="9" type="noConversion"/>
  </si>
  <si>
    <t>10.251.167.140</t>
    <phoneticPr fontId="9" type="noConversion"/>
  </si>
  <si>
    <t xml:space="preserve">SSOESX01   </t>
  </si>
  <si>
    <t>10.252.167.31</t>
    <phoneticPr fontId="9" type="noConversion"/>
  </si>
  <si>
    <t>SSOESX02</t>
  </si>
  <si>
    <t>10.252.167.32</t>
    <phoneticPr fontId="9" type="noConversion"/>
  </si>
  <si>
    <t>SSOESX21</t>
  </si>
  <si>
    <t>10.252.167.33</t>
    <phoneticPr fontId="9" type="noConversion"/>
  </si>
  <si>
    <t>10.251.167.133</t>
  </si>
  <si>
    <t>SSOESX22</t>
  </si>
  <si>
    <t>10.252.167.34</t>
    <phoneticPr fontId="9" type="noConversion"/>
  </si>
  <si>
    <t>SSIHPV01</t>
    <phoneticPr fontId="9" type="noConversion"/>
  </si>
  <si>
    <t>10.251.167.176</t>
    <phoneticPr fontId="9" type="noConversion"/>
  </si>
  <si>
    <t>SSOHPV02</t>
    <phoneticPr fontId="9" type="noConversion"/>
  </si>
  <si>
    <t>10.252.167.176</t>
    <phoneticPr fontId="9" type="noConversion"/>
  </si>
  <si>
    <t>SSDNAS01</t>
    <phoneticPr fontId="9" type="noConversion"/>
  </si>
  <si>
    <t>10.251.167.185</t>
    <phoneticPr fontId="9" type="noConversion"/>
  </si>
  <si>
    <t>10.251.167.186</t>
    <phoneticPr fontId="9" type="noConversion"/>
  </si>
  <si>
    <t>10.251.167.187</t>
    <phoneticPr fontId="9" type="noConversion"/>
  </si>
  <si>
    <t>10.251.167.188</t>
    <phoneticPr fontId="9" type="noConversion"/>
  </si>
  <si>
    <t>10.251.167.189</t>
    <phoneticPr fontId="9" type="noConversion"/>
  </si>
  <si>
    <t>HPE Alletra 9080</t>
    <phoneticPr fontId="9" type="noConversion"/>
  </si>
  <si>
    <t>SSDDSS01</t>
    <phoneticPr fontId="9" type="noConversion"/>
  </si>
  <si>
    <t>10.251.167.81</t>
    <phoneticPr fontId="9" type="noConversion"/>
  </si>
  <si>
    <t>10.193.58.81</t>
    <phoneticPr fontId="9" type="noConversion"/>
  </si>
  <si>
    <t>10.193.58.82</t>
    <phoneticPr fontId="9" type="noConversion"/>
  </si>
  <si>
    <t>37U~38U</t>
    <phoneticPr fontId="9" type="noConversion"/>
  </si>
  <si>
    <t>SSDSAN01</t>
    <phoneticPr fontId="9" type="noConversion"/>
  </si>
  <si>
    <t>10.251.167.85</t>
    <phoneticPr fontId="9" type="noConversion"/>
  </si>
  <si>
    <t>SSDSAN02</t>
    <phoneticPr fontId="9" type="noConversion"/>
  </si>
  <si>
    <t>10.251.167.86</t>
    <phoneticPr fontId="9" type="noConversion"/>
  </si>
  <si>
    <t>SSDSAN11</t>
    <phoneticPr fontId="9" type="noConversion"/>
  </si>
  <si>
    <t>10.251.167.87</t>
    <phoneticPr fontId="9" type="noConversion"/>
  </si>
  <si>
    <t>SSDSAN12</t>
    <phoneticPr fontId="9" type="noConversion"/>
  </si>
  <si>
    <t>10.251.167.88</t>
    <phoneticPr fontId="9" type="noConversion"/>
  </si>
  <si>
    <t>SSDNAS11</t>
    <phoneticPr fontId="9" type="noConversion"/>
  </si>
  <si>
    <t>10.251.167.190</t>
    <phoneticPr fontId="9" type="noConversion"/>
  </si>
  <si>
    <t>10.251.167.191</t>
    <phoneticPr fontId="9" type="noConversion"/>
  </si>
  <si>
    <t>10.251.167.192</t>
    <phoneticPr fontId="9" type="noConversion"/>
  </si>
  <si>
    <t>10.251.167.193</t>
    <phoneticPr fontId="9" type="noConversion"/>
  </si>
  <si>
    <t>10.251.167.194</t>
    <phoneticPr fontId="9" type="noConversion"/>
  </si>
  <si>
    <t>16U~23U</t>
    <phoneticPr fontId="9" type="noConversion"/>
  </si>
  <si>
    <t>SSDNAS12</t>
    <phoneticPr fontId="9" type="noConversion"/>
  </si>
  <si>
    <t>10.251.167.195</t>
    <phoneticPr fontId="9" type="noConversion"/>
  </si>
  <si>
    <t>10.251.167.196</t>
    <phoneticPr fontId="9" type="noConversion"/>
  </si>
  <si>
    <t>10.251.167.197</t>
    <phoneticPr fontId="9" type="noConversion"/>
  </si>
  <si>
    <t>10.251.167.198</t>
    <phoneticPr fontId="9" type="noConversion"/>
  </si>
  <si>
    <t>10.251.167.199</t>
    <phoneticPr fontId="9" type="noConversion"/>
  </si>
  <si>
    <t>1U~20U</t>
    <phoneticPr fontId="9" type="noConversion"/>
  </si>
  <si>
    <t>NetApp FAS8300</t>
  </si>
  <si>
    <t>SSDDSB01</t>
    <phoneticPr fontId="9" type="noConversion"/>
  </si>
  <si>
    <t>10.251.167.102</t>
    <phoneticPr fontId="9" type="noConversion"/>
  </si>
  <si>
    <t>10.251.167.103</t>
    <phoneticPr fontId="9" type="noConversion"/>
  </si>
  <si>
    <t>10.251.167.104</t>
    <phoneticPr fontId="9" type="noConversion"/>
  </si>
  <si>
    <t>10.251.167.105</t>
    <phoneticPr fontId="9" type="noConversion"/>
  </si>
  <si>
    <t>10.251.167.106</t>
    <phoneticPr fontId="9" type="noConversion"/>
  </si>
  <si>
    <t>SSDTLB01</t>
    <phoneticPr fontId="9" type="noConversion"/>
  </si>
  <si>
    <t>10.251.167.101</t>
    <phoneticPr fontId="9" type="noConversion"/>
  </si>
  <si>
    <t>SSDTAP01</t>
    <phoneticPr fontId="9" type="noConversion"/>
  </si>
  <si>
    <t>10.251.167.91</t>
    <phoneticPr fontId="9" type="noConversion"/>
  </si>
  <si>
    <t>26U</t>
    <phoneticPr fontId="9" type="noConversion"/>
  </si>
  <si>
    <t>SSDTAP02</t>
    <phoneticPr fontId="9" type="noConversion"/>
  </si>
  <si>
    <t>10.251.167.92</t>
    <phoneticPr fontId="9" type="noConversion"/>
  </si>
  <si>
    <t>27U</t>
    <phoneticPr fontId="9" type="noConversion"/>
  </si>
  <si>
    <t>SSIHSM01</t>
    <phoneticPr fontId="9" type="noConversion"/>
  </si>
  <si>
    <t>Srv：10.192.2.211</t>
    <phoneticPr fontId="9" type="noConversion"/>
  </si>
  <si>
    <t>欄位</t>
    <phoneticPr fontId="9" type="noConversion"/>
  </si>
  <si>
    <t>用意</t>
    <phoneticPr fontId="9" type="noConversion"/>
  </si>
  <si>
    <t>地點/環境別</t>
    <phoneticPr fontId="9" type="noConversion"/>
  </si>
  <si>
    <t>代碼</t>
    <phoneticPr fontId="9" type="noConversion"/>
  </si>
  <si>
    <t>區域別</t>
    <phoneticPr fontId="9" type="noConversion"/>
  </si>
  <si>
    <t>類別描述說明</t>
    <phoneticPr fontId="9" type="noConversion"/>
  </si>
  <si>
    <t>用途別</t>
    <phoneticPr fontId="9" type="noConversion"/>
  </si>
  <si>
    <t>SDT專案代號：S</t>
    <phoneticPr fontId="9" type="noConversion"/>
  </si>
  <si>
    <t>永續平台(中心)</t>
  </si>
  <si>
    <t>P</t>
  </si>
  <si>
    <t>外部機關連接區</t>
  </si>
  <si>
    <t>G</t>
  </si>
  <si>
    <t>Superdome ESXi管理用途                         </t>
    <phoneticPr fontId="9" type="noConversion"/>
  </si>
  <si>
    <t>ESS</t>
    <phoneticPr fontId="9" type="noConversion"/>
  </si>
  <si>
    <t>組態管理</t>
    <phoneticPr fontId="9" type="noConversion"/>
  </si>
  <si>
    <t>CMD</t>
  </si>
  <si>
    <t>永續平台(異地備援)</t>
  </si>
  <si>
    <t>S</t>
  </si>
  <si>
    <t>DMZ區</t>
    <phoneticPr fontId="9" type="noConversion"/>
  </si>
  <si>
    <t>I</t>
  </si>
  <si>
    <t>X86 ESXi管理用途                               </t>
    <phoneticPr fontId="9" type="noConversion"/>
  </si>
  <si>
    <t>ESX</t>
    <phoneticPr fontId="9" type="noConversion"/>
  </si>
  <si>
    <t>Oracle EM監控</t>
  </si>
  <si>
    <t>OEM</t>
    <phoneticPr fontId="9" type="noConversion"/>
  </si>
  <si>
    <t>永續平台(異地整合測試)</t>
  </si>
  <si>
    <t>T</t>
  </si>
  <si>
    <t>DataCenter區</t>
  </si>
  <si>
    <t>R</t>
  </si>
  <si>
    <t>X86容器化                                     </t>
    <phoneticPr fontId="9" type="noConversion"/>
  </si>
  <si>
    <t>CON</t>
    <phoneticPr fontId="9" type="noConversion"/>
  </si>
  <si>
    <t>OCP Master node</t>
  </si>
  <si>
    <t>MAP</t>
    <phoneticPr fontId="9" type="noConversion"/>
  </si>
  <si>
    <t>4~6</t>
    <phoneticPr fontId="9" type="noConversion"/>
  </si>
  <si>
    <t>永續平台(甲方開發)</t>
  </si>
  <si>
    <t>V</t>
  </si>
  <si>
    <t>管理區</t>
  </si>
  <si>
    <t>M</t>
  </si>
  <si>
    <t>DNS用途                                       </t>
    <phoneticPr fontId="9" type="noConversion"/>
  </si>
  <si>
    <t>DNS</t>
    <phoneticPr fontId="9" type="noConversion"/>
  </si>
  <si>
    <t>OCP Worker node   </t>
  </si>
  <si>
    <t>WAP</t>
    <phoneticPr fontId="9" type="noConversion"/>
  </si>
  <si>
    <t>7~8</t>
    <phoneticPr fontId="9" type="noConversion"/>
  </si>
  <si>
    <t>流水號，01~99</t>
    <phoneticPr fontId="9" type="noConversion"/>
  </si>
  <si>
    <t>臺北國稅局</t>
    <phoneticPr fontId="9" type="noConversion"/>
  </si>
  <si>
    <t>A</t>
  </si>
  <si>
    <t>就地區</t>
  </si>
  <si>
    <t>L</t>
  </si>
  <si>
    <t>NTP用途                                       </t>
    <phoneticPr fontId="9" type="noConversion"/>
  </si>
  <si>
    <t>OCP Bastsion                                   </t>
    <phoneticPr fontId="9" type="noConversion"/>
  </si>
  <si>
    <t>BAP</t>
    <phoneticPr fontId="9" type="noConversion"/>
  </si>
  <si>
    <t>高雄國稅局</t>
    <phoneticPr fontId="9" type="noConversion"/>
  </si>
  <si>
    <t>E</t>
  </si>
  <si>
    <t>O</t>
  </si>
  <si>
    <t>YUM用途                                       </t>
    <phoneticPr fontId="9" type="noConversion"/>
  </si>
  <si>
    <t>FTP用途                                       </t>
    <phoneticPr fontId="9" type="noConversion"/>
  </si>
  <si>
    <t>FTP</t>
    <phoneticPr fontId="9" type="noConversion"/>
  </si>
  <si>
    <t>北區國稅局</t>
    <phoneticPr fontId="9" type="noConversion"/>
  </si>
  <si>
    <t>H</t>
  </si>
  <si>
    <t>外網DMZ區</t>
  </si>
  <si>
    <t>Z</t>
  </si>
  <si>
    <t>中心Oracle DB用途                               </t>
    <phoneticPr fontId="9" type="noConversion"/>
  </si>
  <si>
    <t>FDB</t>
    <phoneticPr fontId="9" type="noConversion"/>
  </si>
  <si>
    <t>vCenter                                       </t>
    <phoneticPr fontId="9" type="noConversion"/>
  </si>
  <si>
    <t>VCN</t>
    <phoneticPr fontId="9" type="noConversion"/>
  </si>
  <si>
    <t>中區國稅局</t>
  </si>
  <si>
    <t>B</t>
  </si>
  <si>
    <t>叢集底層區</t>
  </si>
  <si>
    <t>C</t>
  </si>
  <si>
    <t>北市Oracle DB用途                               </t>
    <phoneticPr fontId="9" type="noConversion"/>
  </si>
  <si>
    <t>ADB</t>
    <phoneticPr fontId="9" type="noConversion"/>
  </si>
  <si>
    <t>VMware叢集</t>
    <phoneticPr fontId="9" type="noConversion"/>
  </si>
  <si>
    <t>VCC</t>
    <phoneticPr fontId="9" type="noConversion"/>
  </si>
  <si>
    <t>南區國稅局</t>
  </si>
  <si>
    <t>D</t>
  </si>
  <si>
    <t>設備管理區</t>
  </si>
  <si>
    <t>北區Oracle DB用途                               </t>
    <phoneticPr fontId="9" type="noConversion"/>
  </si>
  <si>
    <t>HDB</t>
    <phoneticPr fontId="9" type="noConversion"/>
  </si>
  <si>
    <t>Nutanix管理用途</t>
    <phoneticPr fontId="9" type="noConversion"/>
  </si>
  <si>
    <t>AHV</t>
    <phoneticPr fontId="9" type="noConversion"/>
  </si>
  <si>
    <t>中區Oracle DB用途                               </t>
    <phoneticPr fontId="9" type="noConversion"/>
  </si>
  <si>
    <t>BDB</t>
    <phoneticPr fontId="9" type="noConversion"/>
  </si>
  <si>
    <t>系統印表機</t>
    <phoneticPr fontId="9" type="noConversion"/>
  </si>
  <si>
    <t>STP</t>
    <phoneticPr fontId="9" type="noConversion"/>
  </si>
  <si>
    <t>南區Oracle DB用途                               </t>
    <phoneticPr fontId="9" type="noConversion"/>
  </si>
  <si>
    <t>DDB</t>
    <phoneticPr fontId="9" type="noConversion"/>
  </si>
  <si>
    <t>端末掃描器</t>
    <phoneticPr fontId="9" type="noConversion"/>
  </si>
  <si>
    <t>SCN</t>
    <phoneticPr fontId="9" type="noConversion"/>
  </si>
  <si>
    <t>高國Oracle DB用途                               </t>
    <phoneticPr fontId="9" type="noConversion"/>
  </si>
  <si>
    <t>EDB</t>
    <phoneticPr fontId="9" type="noConversion"/>
  </si>
  <si>
    <t>Hyper-V</t>
  </si>
  <si>
    <t>HPV</t>
  </si>
  <si>
    <t>MSSQL DB用途</t>
    <phoneticPr fontId="9" type="noConversion"/>
  </si>
  <si>
    <t>MSD</t>
    <phoneticPr fontId="9" type="noConversion"/>
  </si>
  <si>
    <t>高可用性叢集</t>
  </si>
  <si>
    <t>CLS</t>
  </si>
  <si>
    <t>PostgreSQL DB用途                             </t>
    <phoneticPr fontId="9" type="noConversion"/>
  </si>
  <si>
    <t>PGD</t>
    <phoneticPr fontId="9" type="noConversion"/>
  </si>
  <si>
    <t>資安使用</t>
  </si>
  <si>
    <t>SEC</t>
  </si>
  <si>
    <t>備份用途                                       </t>
    <phoneticPr fontId="9" type="noConversion"/>
  </si>
  <si>
    <t>BAK</t>
    <phoneticPr fontId="9" type="noConversion"/>
  </si>
  <si>
    <t>Nutanix管理用途-CVM</t>
  </si>
  <si>
    <t>CVM</t>
  </si>
  <si>
    <t>磁碟機(備份)</t>
    <phoneticPr fontId="9" type="noConversion"/>
  </si>
  <si>
    <t>DSB</t>
    <phoneticPr fontId="9" type="noConversion"/>
  </si>
  <si>
    <t>OCP Infra Node</t>
  </si>
  <si>
    <t>IAP</t>
  </si>
  <si>
    <t>磁帶櫃</t>
    <phoneticPr fontId="9" type="noConversion"/>
  </si>
  <si>
    <t>TLB</t>
    <phoneticPr fontId="9" type="noConversion"/>
  </si>
  <si>
    <t>OCP Registry</t>
  </si>
  <si>
    <t>QUY</t>
  </si>
  <si>
    <t>SAN交換器</t>
    <phoneticPr fontId="9" type="noConversion"/>
  </si>
  <si>
    <t>SAN</t>
    <phoneticPr fontId="9" type="noConversion"/>
  </si>
  <si>
    <t>OCP Registry-Redis</t>
  </si>
  <si>
    <t>QRD</t>
  </si>
  <si>
    <t>磁碟機(SAN)</t>
    <phoneticPr fontId="9" type="noConversion"/>
  </si>
  <si>
    <t>DSS</t>
    <phoneticPr fontId="9" type="noConversion"/>
  </si>
  <si>
    <t>OCP Registry-PostgreSQL</t>
  </si>
  <si>
    <t>QPG</t>
  </si>
  <si>
    <t>磁碟機(NAS)(FileServer)</t>
    <phoneticPr fontId="9" type="noConversion"/>
  </si>
  <si>
    <t>DSN</t>
    <phoneticPr fontId="9" type="noConversion"/>
  </si>
  <si>
    <t>OCP Registry-Clair</t>
  </si>
  <si>
    <t>QCR</t>
  </si>
  <si>
    <t>磁碟機(附件上傳)</t>
    <phoneticPr fontId="9" type="noConversion"/>
  </si>
  <si>
    <t>DSU</t>
    <phoneticPr fontId="9" type="noConversion"/>
  </si>
  <si>
    <t xml:space="preserve">系統監控  </t>
    <phoneticPr fontId="9" type="noConversion"/>
  </si>
  <si>
    <t>ITM</t>
  </si>
  <si>
    <t>磁碟機(日誌)</t>
    <phoneticPr fontId="9" type="noConversion"/>
  </si>
  <si>
    <t>DSL</t>
    <phoneticPr fontId="9" type="noConversion"/>
  </si>
  <si>
    <t>ITSM</t>
    <phoneticPr fontId="9" type="noConversion"/>
  </si>
  <si>
    <t>ISM</t>
    <phoneticPr fontId="9" type="noConversion"/>
  </si>
  <si>
    <t>磁碟機(NAS)</t>
    <phoneticPr fontId="9" type="noConversion"/>
  </si>
  <si>
    <t>NAS</t>
    <phoneticPr fontId="9" type="noConversion"/>
  </si>
  <si>
    <t>AD Server</t>
    <phoneticPr fontId="9" type="noConversion"/>
  </si>
  <si>
    <t>ADS</t>
    <phoneticPr fontId="9" type="noConversion"/>
  </si>
  <si>
    <t>磁帶機(HPE_1U)</t>
    <phoneticPr fontId="9" type="noConversion"/>
  </si>
  <si>
    <t>TAP</t>
    <phoneticPr fontId="9" type="noConversion"/>
  </si>
  <si>
    <t>傳統WEB、AP VM主機配置(系統碟100GB)</t>
    <phoneticPr fontId="9" type="noConversion"/>
  </si>
  <si>
    <t>Oracle 正式、備援VM主機配置(系統碟300GB)</t>
    <phoneticPr fontId="9" type="noConversion"/>
  </si>
  <si>
    <t>OCP bastion主機配置</t>
    <phoneticPr fontId="9" type="noConversion"/>
  </si>
  <si>
    <t>OCP Master、Worker Node配置 (ignition安裝自動配置磁碟)</t>
    <phoneticPr fontId="9" type="noConversion"/>
  </si>
  <si>
    <t>掛載目錄</t>
  </si>
  <si>
    <t>磁碟配置</t>
    <phoneticPr fontId="9" type="noConversion"/>
  </si>
  <si>
    <t>說明</t>
  </si>
  <si>
    <t>空間規劃</t>
  </si>
  <si>
    <t>磁碟配置</t>
  </si>
  <si>
    <t>/</t>
  </si>
  <si>
    <t>LVM</t>
    <phoneticPr fontId="9" type="noConversion"/>
  </si>
  <si>
    <t>根目錄</t>
  </si>
  <si>
    <t>5GB</t>
  </si>
  <si>
    <t>LVM</t>
  </si>
  <si>
    <t>-</t>
    <phoneticPr fontId="9" type="noConversion"/>
  </si>
  <si>
    <t>Partition</t>
    <phoneticPr fontId="9" type="noConversion"/>
  </si>
  <si>
    <t>OCP ignition安裝自動配置(BIOS-BOOT)</t>
    <phoneticPr fontId="9" type="noConversion"/>
  </si>
  <si>
    <t>1M</t>
    <phoneticPr fontId="9" type="noConversion"/>
  </si>
  <si>
    <t>/usr</t>
  </si>
  <si>
    <t>系統軟體安裝目錄</t>
    <phoneticPr fontId="9" type="noConversion"/>
  </si>
  <si>
    <t>10GB</t>
  </si>
  <si>
    <t>/usr/oracle</t>
    <phoneticPr fontId="9" type="noConversion"/>
  </si>
  <si>
    <t>Oracle安裝目錄</t>
  </si>
  <si>
    <t>200GB</t>
    <phoneticPr fontId="9" type="noConversion"/>
  </si>
  <si>
    <t>/var</t>
  </si>
  <si>
    <t>日誌目錄</t>
  </si>
  <si>
    <t>OCP ignition安裝自動配置(EFI-SYSTEM)</t>
    <phoneticPr fontId="9" type="noConversion"/>
  </si>
  <si>
    <t>127M</t>
    <phoneticPr fontId="9" type="noConversion"/>
  </si>
  <si>
    <t>/opt</t>
    <phoneticPr fontId="9" type="noConversion"/>
  </si>
  <si>
    <t>一般軟體安裝目錄</t>
    <phoneticPr fontId="9" type="noConversion"/>
  </si>
  <si>
    <t>5GB</t>
    <phoneticPr fontId="9" type="noConversion"/>
  </si>
  <si>
    <t>(ORACLE_HOME</t>
  </si>
  <si>
    <t>/var/tmp</t>
  </si>
  <si>
    <t>暫存資訊</t>
  </si>
  <si>
    <t>/boot</t>
    <phoneticPr fontId="9" type="noConversion"/>
  </si>
  <si>
    <t>OCP ignition安裝自動配置</t>
    <phoneticPr fontId="9" type="noConversion"/>
  </si>
  <si>
    <t>384M</t>
    <phoneticPr fontId="9" type="noConversion"/>
  </si>
  <si>
    <t>AGENT_HOME)</t>
  </si>
  <si>
    <t>/var/log</t>
  </si>
  <si>
    <t>日誌紀錄</t>
  </si>
  <si>
    <t>/sysroot</t>
    <phoneticPr fontId="9" type="noConversion"/>
  </si>
  <si>
    <t>120G</t>
    <phoneticPr fontId="9" type="noConversion"/>
  </si>
  <si>
    <t>/var/log/audit</t>
  </si>
  <si>
    <t>Audit相關日誌紀錄</t>
  </si>
  <si>
    <t>/home</t>
  </si>
  <si>
    <t>家目錄</t>
  </si>
  <si>
    <t>/tmp</t>
  </si>
  <si>
    <t>暫存目錄</t>
  </si>
  <si>
    <t>/SOURCE</t>
    <phoneticPr fontId="9" type="noConversion"/>
  </si>
  <si>
    <t>bastion執行目錄</t>
    <phoneticPr fontId="9" type="noConversion"/>
  </si>
  <si>
    <t>180GB</t>
    <phoneticPr fontId="9" type="noConversion"/>
  </si>
  <si>
    <t>1GB</t>
    <phoneticPr fontId="9" type="noConversion"/>
  </si>
  <si>
    <t>/boot/efi</t>
    <phoneticPr fontId="9" type="noConversion"/>
  </si>
  <si>
    <t>600MB</t>
    <phoneticPr fontId="9" type="noConversion"/>
  </si>
  <si>
    <t>swap</t>
    <phoneticPr fontId="9" type="noConversion"/>
  </si>
  <si>
    <t>NFS</t>
    <phoneticPr fontId="9" type="noConversion"/>
  </si>
  <si>
    <t>程式軟體存放目錄</t>
    <phoneticPr fontId="9" type="noConversion"/>
  </si>
  <si>
    <t>程式日誌存放目錄</t>
  </si>
  <si>
    <t>/boo/efi</t>
    <phoneticPr fontId="9" type="noConversion"/>
  </si>
  <si>
    <t>OCP Infra Node配置 (ignition安裝自動配置磁碟)</t>
    <phoneticPr fontId="9" type="noConversion"/>
  </si>
  <si>
    <r>
      <rPr>
        <sz val="12"/>
        <color rgb="FFFF0000"/>
        <rFont val="新細明體"/>
        <family val="1"/>
        <charset val="136"/>
      </rPr>
      <t>※如主機不使用</t>
    </r>
    <r>
      <rPr>
        <sz val="12"/>
        <color rgb="FFFF0000"/>
        <rFont val="Times New Roman"/>
        <family val="1"/>
      </rPr>
      <t>NFS</t>
    </r>
    <r>
      <rPr>
        <sz val="12"/>
        <color rgb="FFFF0000"/>
        <rFont val="新細明體"/>
        <family val="1"/>
        <charset val="136"/>
      </rPr>
      <t>，</t>
    </r>
    <r>
      <rPr>
        <sz val="12"/>
        <color rgb="FFFF0000"/>
        <rFont val="Times New Roman"/>
        <family val="1"/>
      </rPr>
      <t>NFS</t>
    </r>
    <r>
      <rPr>
        <sz val="12"/>
        <color rgb="FFFF0000"/>
        <rFont val="新細明體"/>
        <family val="1"/>
        <charset val="136"/>
      </rPr>
      <t>兩個檔案系統先以目錄方式提供，未來有需要改由</t>
    </r>
    <r>
      <rPr>
        <sz val="12"/>
        <color rgb="FFFF0000"/>
        <rFont val="Times New Roman"/>
        <family val="1"/>
      </rPr>
      <t>LVM</t>
    </r>
    <r>
      <rPr>
        <sz val="12"/>
        <color rgb="FFFF0000"/>
        <rFont val="新細明體"/>
        <family val="1"/>
        <charset val="136"/>
      </rPr>
      <t>提供</t>
    </r>
    <phoneticPr fontId="9" type="noConversion"/>
  </si>
  <si>
    <t>16GB</t>
    <phoneticPr fontId="9" type="noConversion"/>
  </si>
  <si>
    <t>OCP Mirror Registry主機配置</t>
    <phoneticPr fontId="9" type="noConversion"/>
  </si>
  <si>
    <t>Oracle 整測、小型VM主機配置(系統碟200GB)</t>
    <phoneticPr fontId="9" type="noConversion"/>
  </si>
  <si>
    <t>軟體安裝目錄</t>
  </si>
  <si>
    <t>/EFK</t>
    <phoneticPr fontId="9" type="noConversion"/>
  </si>
  <si>
    <t>EFK 使用空間</t>
    <phoneticPr fontId="9" type="noConversion"/>
  </si>
  <si>
    <t>300G</t>
    <phoneticPr fontId="9" type="noConversion"/>
  </si>
  <si>
    <t>100GB</t>
    <phoneticPr fontId="9" type="noConversion"/>
  </si>
  <si>
    <t>/Istio</t>
    <phoneticPr fontId="9" type="noConversion"/>
  </si>
  <si>
    <t>Istio Operator 使用空間</t>
    <phoneticPr fontId="9" type="noConversion"/>
  </si>
  <si>
    <t>150G</t>
    <phoneticPr fontId="9" type="noConversion"/>
  </si>
  <si>
    <t>/Prometheus</t>
    <phoneticPr fontId="9" type="noConversion"/>
  </si>
  <si>
    <t>Prometheus 使用空間</t>
    <phoneticPr fontId="9" type="noConversion"/>
  </si>
  <si>
    <t>50G</t>
    <phoneticPr fontId="9" type="noConversion"/>
  </si>
  <si>
    <t>/AlertManager</t>
    <phoneticPr fontId="9" type="noConversion"/>
  </si>
  <si>
    <t>Prometheus AlterManager 使用空間</t>
    <phoneticPr fontId="9" type="noConversion"/>
  </si>
  <si>
    <t>5G</t>
    <phoneticPr fontId="9" type="noConversion"/>
  </si>
  <si>
    <t>/SOURCE</t>
  </si>
  <si>
    <t>Registry檔案存放目錄</t>
    <phoneticPr fontId="9" type="noConversion"/>
  </si>
  <si>
    <t>500GB</t>
    <phoneticPr fontId="9" type="noConversion"/>
  </si>
  <si>
    <t>OCP bootstrap Node配置 (ignition安裝自動配置磁碟)</t>
    <phoneticPr fontId="9" type="noConversion"/>
  </si>
  <si>
    <t>100G</t>
    <phoneticPr fontId="9" type="noConversion"/>
  </si>
  <si>
    <t>正式環境</t>
    <phoneticPr fontId="9" type="noConversion"/>
  </si>
  <si>
    <t>ppbap21</t>
    <phoneticPr fontId="9" type="noConversion"/>
  </si>
  <si>
    <t>OCP第2套</t>
    <phoneticPr fontId="9" type="noConversion"/>
  </si>
  <si>
    <t># 客製化獨立建置</t>
    <phoneticPr fontId="9" type="noConversion"/>
  </si>
  <si>
    <t>許晨帆</t>
    <phoneticPr fontId="9" type="noConversion"/>
  </si>
  <si>
    <t>(Cluster02) Bastion</t>
    <phoneticPr fontId="9" type="noConversion"/>
  </si>
  <si>
    <t>Openshift : 4.10</t>
    <phoneticPr fontId="9" type="noConversion"/>
  </si>
  <si>
    <t>disk_1 : 200</t>
    <phoneticPr fontId="9" type="noConversion"/>
  </si>
  <si>
    <t>ens_srv : 10.200.2.31
ens_mgt : 10.254.12.31
ens_bak : 10.200.22.31
ens_nfs : 10.200.32.31</t>
    <phoneticPr fontId="9" type="noConversion"/>
  </si>
  <si>
    <t>Openshift</t>
    <phoneticPr fontId="9" type="noConversion"/>
  </si>
  <si>
    <t>ppbap31</t>
    <phoneticPr fontId="9" type="noConversion"/>
  </si>
  <si>
    <t>OCP第3套</t>
    <phoneticPr fontId="9" type="noConversion"/>
  </si>
  <si>
    <t>(Cluster03) Bastion</t>
    <phoneticPr fontId="9" type="noConversion"/>
  </si>
  <si>
    <t>ens_srv : 10.200.2.51
ens_mgt : 10.254.12.51
ens_bak : 10.200.22.51
ens_nfs : 10.200.32.51</t>
    <phoneticPr fontId="9" type="noConversion"/>
  </si>
  <si>
    <t>ppap01</t>
    <phoneticPr fontId="9" type="noConversion"/>
  </si>
  <si>
    <t>JBOSS EAP</t>
    <phoneticPr fontId="9" type="noConversion"/>
  </si>
  <si>
    <t>RH8.4_WebAP_20220406</t>
    <phoneticPr fontId="9" type="noConversion"/>
  </si>
  <si>
    <t>運作AP服務</t>
    <phoneticPr fontId="9" type="noConversion"/>
  </si>
  <si>
    <t>Jboss : 7.4</t>
    <phoneticPr fontId="9" type="noConversion"/>
  </si>
  <si>
    <t>disk_1 : 60</t>
    <phoneticPr fontId="9" type="noConversion"/>
  </si>
  <si>
    <t>ens_srv : 10.200.2.91
ens_mgt : 10.254.12.91
ens_bak : 10.200.22.91
ens_nfs : 10.200.32.91</t>
    <phoneticPr fontId="9" type="noConversion"/>
  </si>
  <si>
    <t>TCP_8009
TCP_8080
TCP_8443
TCP_9990</t>
    <phoneticPr fontId="9" type="noConversion"/>
  </si>
  <si>
    <t>Jboss</t>
    <phoneticPr fontId="9" type="noConversion"/>
  </si>
  <si>
    <t>ppap02</t>
    <phoneticPr fontId="9" type="noConversion"/>
  </si>
  <si>
    <t>ens_srv : 10.200.2.92
ens_mgt : 10.254.12.92
ens_bak : 10.200.22.92
ens_nfs : 10.200.32.92</t>
    <phoneticPr fontId="9" type="noConversion"/>
  </si>
  <si>
    <t>ppap03</t>
    <phoneticPr fontId="9" type="noConversion"/>
  </si>
  <si>
    <t>ens_srv : 10.200.2.93
ens_mgt : 10.254.12.93
ens_bak : 10.200.22.93
ens_nfs : 10.200.32.93</t>
    <phoneticPr fontId="9" type="noConversion"/>
  </si>
  <si>
    <t>ppap04</t>
    <phoneticPr fontId="9" type="noConversion"/>
  </si>
  <si>
    <t>ens_srv : 10.200.2.94
ens_mgt : 10.254.12.94
ens_bak : 10.200.22.94
ens_nfs : 10.200.32.94</t>
    <phoneticPr fontId="9" type="noConversion"/>
  </si>
  <si>
    <t>ppap05</t>
    <phoneticPr fontId="9" type="noConversion"/>
  </si>
  <si>
    <t>ens_srv : 10.200.2.95
ens_mgt : 10.254.12.95
ens_bak : 10.200.22.95
ens_nfs : 10.200.32.95</t>
    <phoneticPr fontId="9" type="noConversion"/>
  </si>
  <si>
    <t>ppap06</t>
    <phoneticPr fontId="9" type="noConversion"/>
  </si>
  <si>
    <t>ens_srv : 10.200.2.96
ens_mgt : 10.254.12.96
ens_bak : 10.200.22.96
ens_nfs : 10.200.32.96</t>
    <phoneticPr fontId="9" type="noConversion"/>
  </si>
  <si>
    <t>ppap07</t>
    <phoneticPr fontId="9" type="noConversion"/>
  </si>
  <si>
    <t>ens_srv : 10.200.2.97
ens_mgt : 10.254.12.97
ens_bak : 10.200.22.97
ens_nfs : 10.200.32.97</t>
    <phoneticPr fontId="9" type="noConversion"/>
  </si>
  <si>
    <t>ppap08</t>
    <phoneticPr fontId="9" type="noConversion"/>
  </si>
  <si>
    <t>ens_srv : 10.200.2.98
ens_mgt : 10.254.12.98
ens_bak : 10.200.22.98
ens_nfs : 10.200.32.98</t>
    <phoneticPr fontId="9" type="noConversion"/>
  </si>
  <si>
    <t>ppap09</t>
    <phoneticPr fontId="9" type="noConversion"/>
  </si>
  <si>
    <t>運作對內AP服務</t>
    <phoneticPr fontId="9" type="noConversion"/>
  </si>
  <si>
    <t>ens_srv : 10.200.2.99
ens_mgt : 10.254.12.99
ens_bak : 10.200.22.99
ens_nfs : 10.200.32.99</t>
    <phoneticPr fontId="9" type="noConversion"/>
  </si>
  <si>
    <t>ppap10</t>
    <phoneticPr fontId="9" type="noConversion"/>
  </si>
  <si>
    <t>ens_srv : 10.200.2.100
ens_mgt : 10.254.12.100
ens_bak : 10.200.22.100
ens_nfs : 10.200.32.100</t>
    <phoneticPr fontId="9" type="noConversion"/>
  </si>
  <si>
    <t>ppkfk01</t>
    <phoneticPr fontId="9" type="noConversion"/>
  </si>
  <si>
    <t>卡夫卡</t>
    <phoneticPr fontId="9" type="noConversion"/>
  </si>
  <si>
    <t>王咨富</t>
    <phoneticPr fontId="9" type="noConversion"/>
  </si>
  <si>
    <t>資料交換平台</t>
    <phoneticPr fontId="9" type="noConversion"/>
  </si>
  <si>
    <t>Kubernetes : 1.21.6
Apache Zookeeper : 3.7.0
Apache Kafka : 2.8.1</t>
    <phoneticPr fontId="9" type="noConversion"/>
  </si>
  <si>
    <t>ens_srv : 10.200.2.101
ens_mgt : 10.254.12.101
ens_bak : 10.200.22.101
ens_nfs : 10.200.32.101</t>
    <phoneticPr fontId="9" type="noConversion"/>
  </si>
  <si>
    <t>TCP_6443 : Kubernetes
TCP_2379-2380 : Kubernetes
TCP_179 : Kubernetes
TCP_10250-10252 : Kubernetes
TCP_10254 : Kubernetes
TCP_2181 : Apache Zookeeper
TCP_9002 : Apache Kafka
TCP_9093 : Apache Kafka</t>
    <phoneticPr fontId="9" type="noConversion"/>
  </si>
  <si>
    <t>10.254.12.108 : ens_srv</t>
  </si>
  <si>
    <t>node-role/kfk</t>
    <phoneticPr fontId="9" type="noConversion"/>
  </si>
  <si>
    <t>Kubernetes
Apache Zookeeper
Apache Kafka</t>
    <phoneticPr fontId="9" type="noConversion"/>
  </si>
  <si>
    <t>ppkfk02</t>
    <phoneticPr fontId="9" type="noConversion"/>
  </si>
  <si>
    <t>ens_srv : 10.200.2.102
ens_mgt : 10.254.12.102
ens_bak : 10.200.22.102
ens_nfs : 10.200.32.102</t>
    <phoneticPr fontId="9" type="noConversion"/>
  </si>
  <si>
    <t>ppkfk03</t>
    <phoneticPr fontId="9" type="noConversion"/>
  </si>
  <si>
    <t>ens_srv : 10.200.2.103
ens_mgt : 10.254.12.103
ens_bak : 10.200.22.103
ens_nfs : 10.200.32.103</t>
    <phoneticPr fontId="9" type="noConversion"/>
  </si>
  <si>
    <t>ppkfk04</t>
    <phoneticPr fontId="9" type="noConversion"/>
  </si>
  <si>
    <t>ens_srv : 10.200.2.104
ens_mgt : 10.254.12.104
ens_bak : 10.200.22.104
ens_nfs : 10.200.32.104</t>
    <phoneticPr fontId="9" type="noConversion"/>
  </si>
  <si>
    <t>ppkfk05</t>
    <phoneticPr fontId="9" type="noConversion"/>
  </si>
  <si>
    <t>ens_srv : 10.200.2.105
ens_mgt : 10.254.12.105
ens_bak : 10.200.22.105
ens_nfs : 10.200.32.105</t>
    <phoneticPr fontId="9" type="noConversion"/>
  </si>
  <si>
    <t>ppcicd01</t>
    <phoneticPr fontId="9" type="noConversion"/>
  </si>
  <si>
    <t>其它</t>
    <phoneticPr fontId="9" type="noConversion"/>
  </si>
  <si>
    <t>陳俊廷</t>
    <phoneticPr fontId="9" type="noConversion"/>
  </si>
  <si>
    <t>介接VPM</t>
    <phoneticPr fontId="9" type="noConversion"/>
  </si>
  <si>
    <t>ens_srv : 10.200.2.109
ens_mgt : 10.254.12.109
ens_bak : 10.200.22.109
ens_nfs : 10.200.32.109</t>
    <phoneticPr fontId="9" type="noConversion"/>
  </si>
  <si>
    <t>TCP_8080</t>
    <phoneticPr fontId="9" type="noConversion"/>
  </si>
  <si>
    <t>ppbg01</t>
    <phoneticPr fontId="9" type="noConversion"/>
  </si>
  <si>
    <t>批次</t>
    <phoneticPr fontId="9" type="noConversion"/>
  </si>
  <si>
    <t>王川宇
洪國維</t>
  </si>
  <si>
    <t>批次主機(參考10.81.2.10)</t>
    <phoneticPr fontId="9" type="noConversion"/>
  </si>
  <si>
    <t>ens_srv : 10.200.2.111
ens_mgt : 10.254.12.111
ens_bak : 10.200.22.111
ens_nfs : 10.200.32.111</t>
    <phoneticPr fontId="9" type="noConversion"/>
  </si>
  <si>
    <t>node-role/bg</t>
    <phoneticPr fontId="9" type="noConversion"/>
  </si>
  <si>
    <t>ppbg02</t>
    <phoneticPr fontId="9" type="noConversion"/>
  </si>
  <si>
    <t>批次主機(參考10.81.102.121)</t>
    <phoneticPr fontId="9" type="noConversion"/>
  </si>
  <si>
    <t>ens_srv : 10.200.2.112
ens_mgt : 10.254.12.112
ens_bak : 10.200.22.112
ens_nfs : 10.200.32.112</t>
    <phoneticPr fontId="9" type="noConversion"/>
  </si>
  <si>
    <t>ppbg03</t>
    <phoneticPr fontId="9" type="noConversion"/>
  </si>
  <si>
    <t>批次主機(參考10.81.2.52)</t>
    <phoneticPr fontId="9" type="noConversion"/>
  </si>
  <si>
    <t>ens_srv : 10.200.2.113
ens_mgt : 10.254.12.113
ens_bak : 10.200.22.113
ens_nfs : 10.200.32.113</t>
    <phoneticPr fontId="9" type="noConversion"/>
  </si>
  <si>
    <t>ppbg04</t>
    <phoneticPr fontId="9" type="noConversion"/>
  </si>
  <si>
    <t>批次主機(參考10.81.2.56)</t>
    <phoneticPr fontId="9" type="noConversion"/>
  </si>
  <si>
    <t>ens_srv : 10.200.2.114
ens_mgt : 10.254.12.114
ens_bak : 10.200.22.114
ens_nfs : 10.200.32.114</t>
    <phoneticPr fontId="9" type="noConversion"/>
  </si>
  <si>
    <t>ppbg05</t>
    <phoneticPr fontId="9" type="noConversion"/>
  </si>
  <si>
    <t>批次主機(參考10.81.5.60)</t>
    <phoneticPr fontId="9" type="noConversion"/>
  </si>
  <si>
    <t>ens_srv : 10.200.2.115
ens_mgt : 10.254.12.115
ens_bak : 10.200.22.115
ens_nfs : 10.200.32.115</t>
    <phoneticPr fontId="9" type="noConversion"/>
  </si>
  <si>
    <t>ppbg06</t>
    <phoneticPr fontId="9" type="noConversion"/>
  </si>
  <si>
    <t>批次主機(參考10.85.252.101)</t>
    <phoneticPr fontId="9" type="noConversion"/>
  </si>
  <si>
    <t>ens_srv : 10.200.2.116
ens_mgt : 10.254.12.116
ens_bak : 10.200.22.116
ens_nfs : 10.200.32.116</t>
    <phoneticPr fontId="9" type="noConversion"/>
  </si>
  <si>
    <t>ppkms01</t>
    <phoneticPr fontId="9" type="noConversion"/>
  </si>
  <si>
    <t>莊勝淵
楊長錱</t>
  </si>
  <si>
    <t>加密解密加簽驗簽</t>
    <phoneticPr fontId="9" type="noConversion"/>
  </si>
  <si>
    <t>ens_srv : 10.200.2.121
ens_mgt : 10.254.12.121
ens_bak : 10.200.22.121
ens_nfs : 10.200.32.121</t>
    <phoneticPr fontId="9" type="noConversion"/>
  </si>
  <si>
    <t>TCP_9090</t>
    <phoneticPr fontId="9" type="noConversion"/>
  </si>
  <si>
    <t>ppkms02</t>
    <phoneticPr fontId="9" type="noConversion"/>
  </si>
  <si>
    <t>ens_srv : 10.200.2.122
ens_mgt : 10.254.12.122
ens_bak : 10.200.22.122
ens_nfs : 10.200.32.122</t>
    <phoneticPr fontId="9" type="noConversion"/>
  </si>
  <si>
    <t>ppredis01</t>
    <phoneticPr fontId="9" type="noConversion"/>
  </si>
  <si>
    <t>莊勝淵</t>
    <phoneticPr fontId="9" type="noConversion"/>
  </si>
  <si>
    <t>記憶體快取服務(API使用)</t>
    <phoneticPr fontId="9" type="noConversion"/>
  </si>
  <si>
    <t>Redis : 6.0.9-5</t>
    <phoneticPr fontId="9" type="noConversion"/>
  </si>
  <si>
    <t>ens_srv : 10.200.2.125
ens_mgt : 10.254.12.125
ens_bak : 10.200.22.125
ens_nfs : 10.200.32.125</t>
    <phoneticPr fontId="9" type="noConversion"/>
  </si>
  <si>
    <t>TCP_6379</t>
    <phoneticPr fontId="9" type="noConversion"/>
  </si>
  <si>
    <t>Redis</t>
    <phoneticPr fontId="9" type="noConversion"/>
  </si>
  <si>
    <t>ppredis02</t>
    <phoneticPr fontId="9" type="noConversion"/>
  </si>
  <si>
    <t>ens_srv : 10.200.2.126
ens_mgt : 10.254.12.126
ens_bak : 10.200.22.126
ens_nfs : 10.200.32.126</t>
    <phoneticPr fontId="9" type="noConversion"/>
  </si>
  <si>
    <t>ppredis03</t>
    <phoneticPr fontId="9" type="noConversion"/>
  </si>
  <si>
    <t>記憶體快取服務(帳號登入使用)</t>
    <phoneticPr fontId="9" type="noConversion"/>
  </si>
  <si>
    <t>ens_srv : 10.200.2.127
ens_mgt : 10.254.12.127
ens_bak : 10.200.22.127
ens_nfs : 10.200.32.127</t>
    <phoneticPr fontId="9" type="noConversion"/>
  </si>
  <si>
    <t>ppredis04</t>
    <phoneticPr fontId="9" type="noConversion"/>
  </si>
  <si>
    <t>ens_srv : 10.200.2.128
ens_mgt : 10.254.12.128
ens_bak : 10.200.22.128
ens_nfs : 10.200.32.128</t>
    <phoneticPr fontId="9" type="noConversion"/>
  </si>
  <si>
    <t>ppredis05</t>
    <phoneticPr fontId="9" type="noConversion"/>
  </si>
  <si>
    <t>李燕秋</t>
    <phoneticPr fontId="9" type="noConversion"/>
  </si>
  <si>
    <t>記憶體快取服務(大平台使用)</t>
    <phoneticPr fontId="9" type="noConversion"/>
  </si>
  <si>
    <t>ens_srv : 10.200.2.129
ens_mgt : 10.254.12.129
ens_bak : 10.200.22.129
ens_nfs : 10.200.32.129</t>
    <phoneticPr fontId="9" type="noConversion"/>
  </si>
  <si>
    <t>ppredis06</t>
    <phoneticPr fontId="9" type="noConversion"/>
  </si>
  <si>
    <t>ens_srv : 10.200.2.130
ens_mgt : 10.254.12.130
ens_bak : 10.200.22.130
ens_nfs : 10.200.32.130</t>
    <phoneticPr fontId="9" type="noConversion"/>
  </si>
  <si>
    <t>ppva01</t>
    <phoneticPr fontId="9" type="noConversion"/>
  </si>
  <si>
    <t>大平台</t>
    <phoneticPr fontId="9" type="noConversion"/>
  </si>
  <si>
    <t>簽章驗證主機(參考10.81.2.61)</t>
    <phoneticPr fontId="9" type="noConversion"/>
  </si>
  <si>
    <t>ens_srv : 10.200.2.131
ens_mgt : 10.254.12.131
ens_bak : 10.200.22.131
ens_nfs : 10.200.32.131</t>
    <phoneticPr fontId="9" type="noConversion"/>
  </si>
  <si>
    <t>node-role/va</t>
    <phoneticPr fontId="9" type="noConversion"/>
  </si>
  <si>
    <t>ppva02</t>
    <phoneticPr fontId="9" type="noConversion"/>
  </si>
  <si>
    <t>ens_srv : 10.200.2.132
ens_mgt : 10.254.12.132
ens_bak : 10.200.22.132
ens_nfs : 10.200.32.132</t>
    <phoneticPr fontId="9" type="noConversion"/>
  </si>
  <si>
    <t>ppva03</t>
    <phoneticPr fontId="9" type="noConversion"/>
  </si>
  <si>
    <t>ens_srv : 10.200.2.133
ens_mgt : 10.254.12.133
ens_bak : 10.200.22.133
ens_nfs : 10.200.32.133</t>
    <phoneticPr fontId="9" type="noConversion"/>
  </si>
  <si>
    <t>ppva04</t>
    <phoneticPr fontId="9" type="noConversion"/>
  </si>
  <si>
    <t>ens_srv : 10.200.2.134
ens_mgt : 10.254.12.134
ens_bak : 10.200.22.134
ens_nfs : 10.200.32.134</t>
    <phoneticPr fontId="9" type="noConversion"/>
  </si>
  <si>
    <t>ppva05</t>
    <phoneticPr fontId="9" type="noConversion"/>
  </si>
  <si>
    <t>ens_srv : 10.200.2.135
ens_mgt : 10.254.12.135
ens_bak : 10.200.22.135
ens_nfs : 10.200.32.135</t>
    <phoneticPr fontId="9" type="noConversion"/>
  </si>
  <si>
    <t>ppva06</t>
    <phoneticPr fontId="9" type="noConversion"/>
  </si>
  <si>
    <t>ens_srv : 10.200.2.136
ens_mgt : 10.254.12.136
ens_bak : 10.200.22.136
ens_nfs : 10.200.32.136</t>
    <phoneticPr fontId="9" type="noConversion"/>
  </si>
  <si>
    <t>ppva07</t>
    <phoneticPr fontId="9" type="noConversion"/>
  </si>
  <si>
    <t>ens_srv : 10.200.2.137
ens_mgt : 10.254.12.137
ens_bak : 10.200.22.137
ens_nfs : 10.200.32.137</t>
    <phoneticPr fontId="9" type="noConversion"/>
  </si>
  <si>
    <t>ppva08</t>
    <phoneticPr fontId="9" type="noConversion"/>
  </si>
  <si>
    <t>ens_srv : 10.200.2.138
ens_mgt : 10.254.12.138
ens_bak : 10.200.22.138
ens_nfs : 10.200.32.138</t>
    <phoneticPr fontId="9" type="noConversion"/>
  </si>
  <si>
    <t>ppmp01</t>
    <phoneticPr fontId="9" type="noConversion"/>
  </si>
  <si>
    <t>發票驗證主機(參考10.81.2.91)</t>
    <phoneticPr fontId="9" type="noConversion"/>
  </si>
  <si>
    <t>ens_srv : 10.200.2.141
ens_mgt : 10.254.12.141
ens_bak : 10.200.22.141
ens_nfs : 10.200.32.141</t>
    <phoneticPr fontId="9" type="noConversion"/>
  </si>
  <si>
    <t>node-role/mp</t>
    <phoneticPr fontId="9" type="noConversion"/>
  </si>
  <si>
    <t>ppmp02</t>
    <phoneticPr fontId="9" type="noConversion"/>
  </si>
  <si>
    <t>ens_srv : 10.200.2.142
ens_mgt : 10.254.12.142
ens_bak : 10.200.22.142
ens_nfs : 10.200.32.142</t>
    <phoneticPr fontId="9" type="noConversion"/>
  </si>
  <si>
    <t>ppmp03</t>
    <phoneticPr fontId="9" type="noConversion"/>
  </si>
  <si>
    <t>ens_srv : 10.200.2.143
ens_mgt : 10.254.12.143
ens_bak : 10.200.22.143
ens_nfs : 10.200.32.143</t>
    <phoneticPr fontId="9" type="noConversion"/>
  </si>
  <si>
    <t>ppmp04</t>
    <phoneticPr fontId="9" type="noConversion"/>
  </si>
  <si>
    <t>ens_srv : 10.200.2.144
ens_mgt : 10.254.12.144
ens_bak : 10.200.22.144
ens_nfs : 10.200.32.144</t>
    <phoneticPr fontId="9" type="noConversion"/>
  </si>
  <si>
    <t>ppmp05</t>
    <phoneticPr fontId="9" type="noConversion"/>
  </si>
  <si>
    <t>ens_srv : 10.200.2.145
ens_mgt : 10.254.12.145
ens_bak : 10.200.22.145
ens_nfs : 10.200.32.145</t>
    <phoneticPr fontId="9" type="noConversion"/>
  </si>
  <si>
    <t>ppmp06</t>
    <phoneticPr fontId="9" type="noConversion"/>
  </si>
  <si>
    <t>ens_srv : 10.200.2.146
ens_mgt : 10.254.12.146
ens_bak : 10.200.22.146
ens_nfs : 10.200.32.146</t>
    <phoneticPr fontId="9" type="noConversion"/>
  </si>
  <si>
    <t>ppmp07</t>
    <phoneticPr fontId="9" type="noConversion"/>
  </si>
  <si>
    <t>ens_srv : 10.200.2.147
ens_mgt : 10.254.12.147
ens_bak : 10.200.22.147
ens_nfs : 10.200.32.147</t>
    <phoneticPr fontId="9" type="noConversion"/>
  </si>
  <si>
    <t>ppmp08</t>
    <phoneticPr fontId="9" type="noConversion"/>
  </si>
  <si>
    <t>ens_srv : 10.200.2.148
ens_mgt : 10.254.12.148
ens_bak : 10.200.22.148
ens_nfs : 10.200.32.148</t>
    <phoneticPr fontId="9" type="noConversion"/>
  </si>
  <si>
    <t>ppmp09</t>
    <phoneticPr fontId="9" type="noConversion"/>
  </si>
  <si>
    <t>ens_srv : 10.200.2.149
ens_mgt : 10.254.12.149
ens_bak : 10.200.22.149
ens_nfs : 10.200.32.149</t>
    <phoneticPr fontId="9" type="noConversion"/>
  </si>
  <si>
    <t>ppmp10</t>
    <phoneticPr fontId="9" type="noConversion"/>
  </si>
  <si>
    <t>ens_srv : 10.200.2.150
ens_mgt : 10.254.12.150
ens_bak : 10.200.22.150
ens_nfs : 10.200.32.150</t>
    <phoneticPr fontId="9" type="noConversion"/>
  </si>
  <si>
    <t>ppsp01</t>
    <phoneticPr fontId="9" type="noConversion"/>
  </si>
  <si>
    <t>資料同步主機(參考10.81.2.97)</t>
    <phoneticPr fontId="9" type="noConversion"/>
  </si>
  <si>
    <t>ens_srv : 10.200.2.151
ens_mgt : 10.254.12.151
ens_bak : 10.200.22.151
ens_nfs : 10.200.32.151</t>
    <phoneticPr fontId="9" type="noConversion"/>
  </si>
  <si>
    <t>node-role/sp</t>
    <phoneticPr fontId="9" type="noConversion"/>
  </si>
  <si>
    <t>ppsp02</t>
    <phoneticPr fontId="9" type="noConversion"/>
  </si>
  <si>
    <t>ens_srv : 10.200.2.152
ens_mgt : 10.254.12.152
ens_bak : 10.200.22.152
ens_nfs : 10.200.32.152</t>
    <phoneticPr fontId="9" type="noConversion"/>
  </si>
  <si>
    <t>ppsp03</t>
    <phoneticPr fontId="9" type="noConversion"/>
  </si>
  <si>
    <t>ens_srv : 10.200.2.153
ens_mgt : 10.254.12.153
ens_bak : 10.200.22.153
ens_nfs : 10.200.32.153</t>
    <phoneticPr fontId="9" type="noConversion"/>
  </si>
  <si>
    <t>ppsp04</t>
    <phoneticPr fontId="9" type="noConversion"/>
  </si>
  <si>
    <t>聚合作業主機(參考10.81.2.97)</t>
    <phoneticPr fontId="9" type="noConversion"/>
  </si>
  <si>
    <t>ens_srv : 10.200.2.154
ens_mgt : 10.254.12.154
ens_bak : 10.200.22.154
ens_nfs : 10.200.32.154</t>
    <phoneticPr fontId="9" type="noConversion"/>
  </si>
  <si>
    <t>ppsp05</t>
    <phoneticPr fontId="9" type="noConversion"/>
  </si>
  <si>
    <t>ens_srv : 10.200.2.155
ens_mgt : 10.254.12.155
ens_bak : 10.200.22.155
ens_nfs : 10.200.32.155</t>
    <phoneticPr fontId="9" type="noConversion"/>
  </si>
  <si>
    <t>ppsp06</t>
    <phoneticPr fontId="9" type="noConversion"/>
  </si>
  <si>
    <t>ens_srv : 10.200.2.156
ens_mgt : 10.254.12.156
ens_bak : 10.200.22.156
ens_nfs : 10.200.32.156</t>
    <phoneticPr fontId="9" type="noConversion"/>
  </si>
  <si>
    <t>ppds01</t>
    <phoneticPr fontId="9" type="noConversion"/>
  </si>
  <si>
    <t>發票交換/派送批次主機(參考10.81.2.51)</t>
    <phoneticPr fontId="9" type="noConversion"/>
  </si>
  <si>
    <t>ens_srv : 10.200.2.161
ens_mgt : 10.254.12.161
ens_bak : 10.200.22.161
ens_nfs : 10.200.32.161</t>
    <phoneticPr fontId="9" type="noConversion"/>
  </si>
  <si>
    <t>node-role/ds</t>
    <phoneticPr fontId="9" type="noConversion"/>
  </si>
  <si>
    <t>ppds02</t>
    <phoneticPr fontId="9" type="noConversion"/>
  </si>
  <si>
    <t>日誌/報表批次主機(參考10.81.2.51)</t>
    <phoneticPr fontId="9" type="noConversion"/>
  </si>
  <si>
    <t>ens_srv : 10.200.2.162
ens_mgt : 10.254.12.162
ens_bak : 10.200.22.162
ens_nfs : 10.200.32.162</t>
    <phoneticPr fontId="9" type="noConversion"/>
  </si>
  <si>
    <t>ppds03</t>
    <phoneticPr fontId="9" type="noConversion"/>
  </si>
  <si>
    <t>ens_srv : 10.200.2.163
ens_mgt : 10.254.12.163
ens_bak : 10.200.22.163
ens_nfs : 10.200.32.163</t>
    <phoneticPr fontId="9" type="noConversion"/>
  </si>
  <si>
    <t>ppgw01</t>
    <phoneticPr fontId="9" type="noConversion"/>
  </si>
  <si>
    <t>大平台GW主機</t>
    <phoneticPr fontId="9" type="noConversion"/>
  </si>
  <si>
    <t>ens_srv : 10.200.2.167
ens_mgt : 10.254.12.167
ens_bak : 10.200.22.167
ens_nfs : 10.200.32.167</t>
    <phoneticPr fontId="9" type="noConversion"/>
  </si>
  <si>
    <t>node-role/gw</t>
    <phoneticPr fontId="9" type="noConversion"/>
  </si>
  <si>
    <t>ppgw02</t>
    <phoneticPr fontId="9" type="noConversion"/>
  </si>
  <si>
    <t>ens_srv : 10.200.2.168
ens_mgt : 10.254.12.168
ens_bak : 10.200.22.168
ens_nfs : 10.200.32.168</t>
    <phoneticPr fontId="9" type="noConversion"/>
  </si>
  <si>
    <t>pplwgt01</t>
    <phoneticPr fontId="9" type="noConversion"/>
  </si>
  <si>
    <t>API日誌與主動通知主機</t>
    <phoneticPr fontId="9" type="noConversion"/>
  </si>
  <si>
    <t>ens_srv : 10.200.2.171
ens_mgt : 10.254.12.171
ens_bak : 10.200.22.171
ens_nfs : 10.200.32.171</t>
    <phoneticPr fontId="9" type="noConversion"/>
  </si>
  <si>
    <t>pplwgt02</t>
    <phoneticPr fontId="9" type="noConversion"/>
  </si>
  <si>
    <t>ens_srv : 10.200.2.172
ens_mgt : 10.254.12.172
ens_bak : 10.200.22.172
ens_nfs : 10.200.32.172</t>
    <phoneticPr fontId="9" type="noConversion"/>
  </si>
  <si>
    <t>pplwgt03</t>
    <phoneticPr fontId="9" type="noConversion"/>
  </si>
  <si>
    <t>ens_srv : 10.200.2.173
ens_mgt : 10.254.12.173
ens_bak : 10.200.22.173
ens_nfs : 10.200.32.173</t>
    <phoneticPr fontId="9" type="noConversion"/>
  </si>
  <si>
    <t>ppdb6a</t>
    <phoneticPr fontId="9" type="noConversion"/>
  </si>
  <si>
    <t>Oracle</t>
    <phoneticPr fontId="9" type="noConversion"/>
  </si>
  <si>
    <t>楊宇軒</t>
    <phoneticPr fontId="9" type="noConversion"/>
  </si>
  <si>
    <t>PDW
(PDW)
正式報表資料庫
FROM PDW</t>
    <phoneticPr fontId="9" type="noConversion"/>
  </si>
  <si>
    <t>Oracle Database : 19.x</t>
    <phoneticPr fontId="9" type="noConversion"/>
  </si>
  <si>
    <t>disk_1 : 400</t>
    <phoneticPr fontId="9" type="noConversion"/>
  </si>
  <si>
    <t>ens_srv : 10.200.5.61
ens_mgt : 10.254.15.61
ens_bak : 10.200.25.61
ens_nfs : 10.200.35.61</t>
    <phoneticPr fontId="9" type="noConversion"/>
  </si>
  <si>
    <t>Oracle Database</t>
    <phoneticPr fontId="9" type="noConversion"/>
  </si>
  <si>
    <t>ppdb8a</t>
    <phoneticPr fontId="9" type="noConversion"/>
  </si>
  <si>
    <t>PAW1
(PAW)
正式兌領獎資料庫RAC1
FROM AWARD</t>
    <phoneticPr fontId="9" type="noConversion"/>
  </si>
  <si>
    <t>ens_srv : 10.200.5.81
ens_mgt : 10.254.15.81
ens_bak : 10.200.25.81
ens_nfs : 10.200.35.81
Int : 10.254.19.81
ens_mir : 10.200.58.8</t>
    <phoneticPr fontId="9" type="noConversion"/>
  </si>
  <si>
    <t>ppdb8b</t>
    <phoneticPr fontId="9" type="noConversion"/>
  </si>
  <si>
    <t>PAW2
(PAW)
正式兌領獎資料庫RAC2
FROM AWARD</t>
    <phoneticPr fontId="9" type="noConversion"/>
  </si>
  <si>
    <t>ens_srv : 10.200.5.82
ens_mgt : 10.254.15.82
ens_bak : 10.200.25.82
ens_nfs : 10.200.35.82
Int : 10.254.19.82
ens_mir : 10.200.58.9</t>
    <phoneticPr fontId="9" type="noConversion"/>
  </si>
  <si>
    <t>ppdb9a</t>
    <phoneticPr fontId="9" type="noConversion"/>
  </si>
  <si>
    <t>POPAW1
(POPAW)
正式開獎資料庫primary
FROM PAWARD</t>
    <phoneticPr fontId="9" type="noConversion"/>
  </si>
  <si>
    <t>ens_srv : 10.200.5.91
ens_mgt : 10.254.15.91
ens_bak : 10.200.25.91
ens_nfs : 10.200.35.91
Int : 10.254.19.91
ens_mir : 10.200.58.91</t>
    <phoneticPr fontId="9" type="noConversion"/>
  </si>
  <si>
    <t>ppdb9b</t>
    <phoneticPr fontId="9" type="noConversion"/>
  </si>
  <si>
    <t>POPAW2
(POPAW)
正式開獎資料庫standby
FROM PAWARD</t>
    <phoneticPr fontId="9" type="noConversion"/>
  </si>
  <si>
    <t>ens_srv : 10.200.5.92
ens_mgt : 10.254.15.92
ens_bak : 10.200.25.92
ens_nfs : 10.200.35.92
Int : 10.254.19.92
ens_mir : 10.200.58.92</t>
    <phoneticPr fontId="9" type="noConversion"/>
  </si>
  <si>
    <t>ppdb10a</t>
    <phoneticPr fontId="9" type="noConversion"/>
  </si>
  <si>
    <t>PostgreSQL</t>
    <phoneticPr fontId="9" type="noConversion"/>
  </si>
  <si>
    <t>SFTP1
(GADATA)
正式發票上傳SFTP資料庫 primary</t>
    <phoneticPr fontId="9" type="noConversion"/>
  </si>
  <si>
    <t>PostgreSQL : 14.x</t>
    <phoneticPr fontId="9" type="noConversion"/>
  </si>
  <si>
    <t>ens_srv : 10.200.5.101
ens_mgt : 10.254.15.101
ens_bak : 10.200.25.101
ens_nfs : 10.200.35.101
Int : 10.254.19.101
ens_mir : 10.200.58.101</t>
    <phoneticPr fontId="9" type="noConversion"/>
  </si>
  <si>
    <t>ppdb10b</t>
    <phoneticPr fontId="9" type="noConversion"/>
  </si>
  <si>
    <t>SFTP2
(GADATA)
正式發票上傳SFTP資料庫 standby</t>
    <phoneticPr fontId="9" type="noConversion"/>
  </si>
  <si>
    <t>ens_srv : 10.200.5.102
ens_mgt : 10.254.15.102
ens_bak : 10.200.25.102
ens_nfs : 10.200.35.102
Int : 10.254.19.102
ens_mir : 10.200.58.102</t>
    <phoneticPr fontId="9" type="noConversion"/>
  </si>
  <si>
    <t>ppdb11a</t>
    <phoneticPr fontId="9" type="noConversion"/>
  </si>
  <si>
    <t>IAGDB
(IAGDB)
正式APILOG資料庫</t>
    <phoneticPr fontId="9" type="noConversion"/>
  </si>
  <si>
    <t>ens_srv : 10.200.5.111
ens_mgt : 10.254.15.111
ens_bak : 10.200.25.111
ens_nfs : 10.200.35.111
ens_mir : 10.200.58.111</t>
    <phoneticPr fontId="9" type="noConversion"/>
  </si>
  <si>
    <t>ppdb4a</t>
    <phoneticPr fontId="9" type="noConversion"/>
  </si>
  <si>
    <t>PBAN1
正式發票統編資料庫primary
FROM PB2C</t>
    <phoneticPr fontId="9" type="noConversion"/>
  </si>
  <si>
    <t>ens_srv：10.200.5.41
ens_mgt：10.254.15.41
ens_bak：10.200.25.41
ens_nfs：10.200.35.41
ens_int：10.254.19.41
ens_mir：10.200.58.41</t>
    <phoneticPr fontId="9" type="noConversion"/>
  </si>
  <si>
    <t>SDF Chassis</t>
    <phoneticPr fontId="9" type="noConversion"/>
  </si>
  <si>
    <t>ppdb3a</t>
    <phoneticPr fontId="9" type="noConversion"/>
  </si>
  <si>
    <t>PHIST
正式歷史資料庫
FROM PB2C_HIST</t>
    <phoneticPr fontId="9" type="noConversion"/>
  </si>
  <si>
    <t>ens_srv：10.200.5.31
ens_mgt：10.254.15.31
ens_bak：10.200.25.31
ens_nfs：10.200.35.31
ens_mir：10.200.58.31</t>
    <phoneticPr fontId="9" type="noConversion"/>
  </si>
  <si>
    <t>ppdb1a</t>
    <phoneticPr fontId="9" type="noConversion"/>
  </si>
  <si>
    <t>PCOMM1
正式共用資料庫RAC1
FROM PCOMM</t>
    <phoneticPr fontId="9" type="noConversion"/>
  </si>
  <si>
    <t>ens_srv：10.200.5.11
ens_mgt：10.254.15.11
ens_bak：10.200.25.11
ens_nfs：10.200.35.11
ens_int：10.254.19.11
ens_mir：10.200.58.11</t>
    <phoneticPr fontId="9" type="noConversion"/>
  </si>
  <si>
    <t>ppdb4b</t>
    <phoneticPr fontId="9" type="noConversion"/>
  </si>
  <si>
    <t>PBAN2
正式發票統編資料庫standby</t>
    <phoneticPr fontId="9" type="noConversion"/>
  </si>
  <si>
    <t>ens_srv：10.200.5.42
ens_mgt：10.254.15.42
ens_bak：10.200.25.42
ens_nfs：10.200.35.42
ens_int：10.254.19.42
ens_mir：10.200.58.42</t>
    <phoneticPr fontId="9" type="noConversion"/>
  </si>
  <si>
    <t>ppdb3b</t>
    <phoneticPr fontId="9" type="noConversion"/>
  </si>
  <si>
    <t>資料庫主機</t>
    <phoneticPr fontId="9" type="noConversion"/>
  </si>
  <si>
    <t>ens_srv：10.200.5.32
ens_mgt：10.254.15.32
ens_bak：10.200.25.32
ens_nfs：10.200.35.32
ens_mir：10.200.58.32</t>
    <phoneticPr fontId="9" type="noConversion"/>
  </si>
  <si>
    <t>ppdb1b</t>
    <phoneticPr fontId="9" type="noConversion"/>
  </si>
  <si>
    <t>PCOMM2
(PCOMM)
正式共用資料庫RAC2
FROM PCOMM</t>
    <phoneticPr fontId="9" type="noConversion"/>
  </si>
  <si>
    <t>ens_srv：10.200.5.12
ens_mgt：10.254.15.12
ens_bak：10.200.25.12
ens_nfs：10.200.35.12
ens_int：10.254.19.12
ens_mir：10.200.58.12</t>
    <phoneticPr fontId="9" type="noConversion"/>
  </si>
  <si>
    <t>ppdb5a</t>
    <phoneticPr fontId="9" type="noConversion"/>
  </si>
  <si>
    <t>PCARR1
(PCARR)
正式發票載具資料庫primary
FROM PB2C</t>
    <phoneticPr fontId="9" type="noConversion"/>
  </si>
  <si>
    <t>ens_srv：10.200.5.51
ens_mgt：10.254.15.51
ens_bak：10.200.25.51
ens_nfs：10.200.35.51
ens_int：10.254.19.51
ens_mir：10.200.58.51</t>
    <phoneticPr fontId="9" type="noConversion"/>
  </si>
  <si>
    <t>ppdb2a</t>
    <phoneticPr fontId="9" type="noConversion"/>
  </si>
  <si>
    <t>PEINV1
(PEINV)
正式發票日誌資料庫RAC1
FROM PEINV</t>
    <phoneticPr fontId="9" type="noConversion"/>
  </si>
  <si>
    <t>ens_srv：10.200.5.21
ens_mgt：10.254.15.21
ens_bak：10.200.25.21
ens_nfs：10.200.35.21
ens_int：10.254.19.21
ens_mir：10.200.58.21</t>
    <phoneticPr fontId="9" type="noConversion"/>
  </si>
  <si>
    <t>ppdb1c</t>
    <phoneticPr fontId="9" type="noConversion"/>
  </si>
  <si>
    <t>PCOMM3
(PCOMM)
正式共用資料庫RAC3
FROM PCOMM</t>
    <phoneticPr fontId="9" type="noConversion"/>
  </si>
  <si>
    <t>ens_srv：10.200.5.13
ens_mgt：10.254.15.13
ens_bak：10.200.25.13
ens_nfs：10.200.35.13
ens_int：10.254.19.13
ens_mir：10.200.58.13</t>
    <phoneticPr fontId="9" type="noConversion"/>
  </si>
  <si>
    <t>ppdb5b</t>
    <phoneticPr fontId="9" type="noConversion"/>
  </si>
  <si>
    <t>PCARR2
(PCARR)
正式發票載具資料庫standby
FROM PB2C</t>
    <phoneticPr fontId="9" type="noConversion"/>
  </si>
  <si>
    <t>ens_srv：10.200.5.52
ens_mgt：10.254.15.52
ens_bak：10.200.25.52
ens_nfs：10.200.35.52
ens_int：10.254.19.52
ens_mir：10.200.58.52</t>
    <phoneticPr fontId="9" type="noConversion"/>
  </si>
  <si>
    <t>ppdb2b</t>
    <phoneticPr fontId="9" type="noConversion"/>
  </si>
  <si>
    <t>PEINV2
(PEINV)
正式發票日誌資料庫RAC2
FROM PEINV</t>
    <phoneticPr fontId="9" type="noConversion"/>
  </si>
  <si>
    <t>ens_srv：10.200.5.22
ens_mgt：10.254.15.22
ens_bak：10.200.25.22
ens_nfs：10.200.35.22
ens_int：10.254.19.22
ens_mir：10.200.58.22</t>
    <phoneticPr fontId="9" type="noConversion"/>
  </si>
  <si>
    <t>pprpt01</t>
    <phoneticPr fontId="9" type="noConversion"/>
  </si>
  <si>
    <t>Windows 2019 Datacenter</t>
    <phoneticPr fontId="9" type="noConversion"/>
  </si>
  <si>
    <t>MGT</t>
    <phoneticPr fontId="9" type="noConversion"/>
  </si>
  <si>
    <t>林家豪</t>
    <phoneticPr fontId="9" type="noConversion"/>
  </si>
  <si>
    <t>備份任務監控及報表發送</t>
    <phoneticPr fontId="9" type="noConversion"/>
  </si>
  <si>
    <t>OpsCenter : 9.1</t>
    <phoneticPr fontId="9" type="noConversion"/>
  </si>
  <si>
    <t>ens_srv : 10.200.6.31
ens_mgt : 10.254.16.31
ens_bak : 10.200.26.31
ens_nfs : 10.200.36.31</t>
    <phoneticPr fontId="9" type="noConversion"/>
  </si>
  <si>
    <t>TCP_25 : OPSCenter to Mail Srvver
TCP_443 : (BrowSrv) Any to OPSCenter
TCP_1556 : (通訊) Master to OPSCenter</t>
    <phoneticPr fontId="9" type="noConversion"/>
  </si>
  <si>
    <t>OpsCenter</t>
    <phoneticPr fontId="9" type="noConversion"/>
  </si>
  <si>
    <t>ppboot01</t>
    <phoneticPr fontId="9" type="noConversion"/>
  </si>
  <si>
    <t>實體機備份使用(Boot Srvver)</t>
    <phoneticPr fontId="9" type="noConversion"/>
  </si>
  <si>
    <t>Boot Srvver : 9.1</t>
    <phoneticPr fontId="9" type="noConversion"/>
  </si>
  <si>
    <t>ens_srv : 10.200.6.33
ens_mgt : 10.254.16.33
ens_bak : 10.200.26.33
ens_nfs : 10.200.36.33</t>
    <phoneticPr fontId="9" type="noConversion"/>
  </si>
  <si>
    <t>TCP_1556
TCP_13724
TCP_13782</t>
    <phoneticPr fontId="9" type="noConversion"/>
  </si>
  <si>
    <t>Boot Srvver</t>
    <phoneticPr fontId="9" type="noConversion"/>
  </si>
  <si>
    <t>ppmon01</t>
    <phoneticPr fontId="9" type="noConversion"/>
  </si>
  <si>
    <t>中央儀錶板、彙整所有資訊</t>
    <phoneticPr fontId="9" type="noConversion"/>
  </si>
  <si>
    <t>[OBM] Operations Bridge Manager Gateway : 2021.11</t>
    <phoneticPr fontId="9" type="noConversion"/>
  </si>
  <si>
    <t>ens_srv : 10.200.6.11
ens_mgt : 10.254.16.11
ens_bak : 10.200.26.11
ens_nfs : 10.200.36.11</t>
    <phoneticPr fontId="9" type="noConversion"/>
  </si>
  <si>
    <t>TCP_80
TCP_383
TCP_443
TCP_1098
TCP_1099
TCP_4447
TCP_5445
TCP_8009
TCP_8080
TCP_29000
# 31000 Port以上開放使用</t>
    <phoneticPr fontId="9" type="noConversion"/>
  </si>
  <si>
    <t>OBM</t>
    <phoneticPr fontId="9" type="noConversion"/>
  </si>
  <si>
    <t>ppmon02</t>
    <phoneticPr fontId="9" type="noConversion"/>
  </si>
  <si>
    <t>將Gateway蒐集的資料交由DPS處理及儲存</t>
    <phoneticPr fontId="9" type="noConversion"/>
  </si>
  <si>
    <t>[OBM] Operations Bridge Manager DPS : 2021.11</t>
    <phoneticPr fontId="9" type="noConversion"/>
  </si>
  <si>
    <t>ens_srv : 10.200.6.12
ens_mgt : 10.254.16.12
ens_bak : 10.200.26.12
ens_nfs : 10.200.36.12</t>
    <phoneticPr fontId="9" type="noConversion"/>
  </si>
  <si>
    <t>TCP_80
TCP_383
TCP_443
TCP_1098
TCP_1099
TCP_4447
TCP_5445
TCP_8009
TCP_8080
TCP_29000
TCP_5433 : PostgreSQL
# 31000 Port以上開放使用</t>
    <phoneticPr fontId="9" type="noConversion"/>
  </si>
  <si>
    <t>ppmon03</t>
    <phoneticPr fontId="9" type="noConversion"/>
  </si>
  <si>
    <t>依據 COSO 內資料進行行為分析及事件判斷</t>
    <phoneticPr fontId="9" type="noConversion"/>
  </si>
  <si>
    <t>[OBM] Collect Once Store Once : 2021.11</t>
    <phoneticPr fontId="9" type="noConversion"/>
  </si>
  <si>
    <t>ens_srv : 10.200.6.13
ens_mgt : 10.254.16.13
ens_bak : 10.200.26.13
ens_nfs : 10.200.36.13</t>
    <phoneticPr fontId="9" type="noConversion"/>
  </si>
  <si>
    <t>TCP_22
TCP_53
TCP_80
TCP_111
TCP_443
TCP_2049
TCP_20048
TCP_2380
TCP_4001
TCP_10248
TCP_10249
TCP_10250
TCP_10251
TCP_10252
TCP_10256
TCP_10257
TCP_10259
TCP_8200
TCP_8443
TCP_5443
TCP_5000
TCP_8472</t>
    <phoneticPr fontId="9" type="noConversion"/>
  </si>
  <si>
    <t>ppmon04</t>
    <phoneticPr fontId="9" type="noConversion"/>
  </si>
  <si>
    <t>COSO資料庫</t>
    <phoneticPr fontId="9" type="noConversion"/>
  </si>
  <si>
    <t>[OBM] Collect Once Store Once Vertica : 2021.11</t>
    <phoneticPr fontId="9" type="noConversion"/>
  </si>
  <si>
    <t>ens_srv : 10.200.6.14
ens_mgt : 10.254.16.14
ens_bak : 10.200.26.14
ens_nfs : 10.200.36.14</t>
    <phoneticPr fontId="9" type="noConversion"/>
  </si>
  <si>
    <t>TCP_22
TCP_5443
TCP_5434
TCP_5444
TCP_5450
TCP_4803
TCP_
udp 4803
TCP_4804
TCP_6543</t>
    <phoneticPr fontId="9" type="noConversion"/>
  </si>
  <si>
    <t>ppmon05</t>
    <phoneticPr fontId="9" type="noConversion"/>
  </si>
  <si>
    <t>接收NNMi資料</t>
    <phoneticPr fontId="9" type="noConversion"/>
  </si>
  <si>
    <t>[OBM] Operations Connector : 2019.05</t>
    <phoneticPr fontId="9" type="noConversion"/>
  </si>
  <si>
    <t>ens_srv : 10.200.6.15
ens_mgt : 10.254.16.15
ens_bak : 10.200.26.15
ens_nfs : 10.200.36.15</t>
    <phoneticPr fontId="9" type="noConversion"/>
  </si>
  <si>
    <t>TCP_30000</t>
    <phoneticPr fontId="9" type="noConversion"/>
  </si>
  <si>
    <t>ppmon06</t>
    <phoneticPr fontId="9" type="noConversion"/>
  </si>
  <si>
    <t>監控 OS、AP、Web服務狀態</t>
    <phoneticPr fontId="9" type="noConversion"/>
  </si>
  <si>
    <t>[OBM] SiteScope : 2021.11</t>
    <phoneticPr fontId="9" type="noConversion"/>
  </si>
  <si>
    <t>ens_srv : 10.200.6.16
ens_mgt : 10.254.16.16
ens_bak : 10.200.26.16
ens_nfs : 10.200.36.16</t>
    <phoneticPr fontId="9" type="noConversion"/>
  </si>
  <si>
    <t>ppmon07</t>
    <phoneticPr fontId="9" type="noConversion"/>
  </si>
  <si>
    <t>透過 SNMP 監控網路設備</t>
    <phoneticPr fontId="9" type="noConversion"/>
  </si>
  <si>
    <t>[NNMi] Network Node Manager I : 2021.11</t>
    <phoneticPr fontId="9" type="noConversion"/>
  </si>
  <si>
    <t>ens_srv : 10.200.6.17
ens_mgt : 10.254.16.17
ens_bak : 10.200.26.17
ens_nfs : 10.200.36.17</t>
    <phoneticPr fontId="9" type="noConversion"/>
  </si>
  <si>
    <t xml:space="preserve">TCP_80
TCP_443
TCP_ 
</t>
    <phoneticPr fontId="9" type="noConversion"/>
  </si>
  <si>
    <t>NNMi</t>
    <phoneticPr fontId="9" type="noConversion"/>
  </si>
  <si>
    <t>ppmon08</t>
    <phoneticPr fontId="9" type="noConversion"/>
  </si>
  <si>
    <t>[BPM] Application Performance Management Gateway : 9.51</t>
    <phoneticPr fontId="9" type="noConversion"/>
  </si>
  <si>
    <t>ens_srv : 10.200.6.18
ens_mgt : 10.254.16.18
ens_bak : 10.200.26.18
ens_nfs : 10.200.36.18</t>
    <phoneticPr fontId="9" type="noConversion"/>
  </si>
  <si>
    <t xml:space="preserve">TCP_80
TCP_443
TCP_ </t>
    <phoneticPr fontId="9" type="noConversion"/>
  </si>
  <si>
    <t>BPM</t>
    <phoneticPr fontId="9" type="noConversion"/>
  </si>
  <si>
    <t>ppmon09</t>
    <phoneticPr fontId="9" type="noConversion"/>
  </si>
  <si>
    <t>將Gateway蒐集的資料交由DPS處理</t>
    <phoneticPr fontId="9" type="noConversion"/>
  </si>
  <si>
    <t>[BPM] Application Performance Management DPS : 9.51</t>
    <phoneticPr fontId="9" type="noConversion"/>
  </si>
  <si>
    <t>disk_1 : 300</t>
    <phoneticPr fontId="9" type="noConversion"/>
  </si>
  <si>
    <t>ens_srv : 10.200.6.19
ens_mgt : 10.254.16.19
ens_bak : 10.200.26.19
ens_nfs : 10.200.36.19</t>
    <phoneticPr fontId="9" type="noConversion"/>
  </si>
  <si>
    <t>TCP_80
TCP_443</t>
    <phoneticPr fontId="9" type="noConversion"/>
  </si>
  <si>
    <t>ppmon10</t>
    <phoneticPr fontId="9" type="noConversion"/>
  </si>
  <si>
    <t>儲存DPS彙整後資料</t>
    <phoneticPr fontId="9" type="noConversion"/>
  </si>
  <si>
    <t>[BPM] Oracle Database Srvver (APM Database) : 19c</t>
    <phoneticPr fontId="9" type="noConversion"/>
  </si>
  <si>
    <t xml:space="preserve">ens_srv : 10.200.6.20
ens_mgt : 10.254.16.20
ens_bak : 10.200.26.20
ens_nfs : 10.200.36.20
</t>
    <phoneticPr fontId="9" type="noConversion"/>
  </si>
  <si>
    <t>TCP_1521</t>
    <phoneticPr fontId="9" type="noConversion"/>
  </si>
  <si>
    <t>使用CIFS掛載資料</t>
    <phoneticPr fontId="9" type="noConversion"/>
  </si>
  <si>
    <t>ppmon11</t>
    <phoneticPr fontId="9" type="noConversion"/>
  </si>
  <si>
    <t>於其環境內運行訂製腳本內容 (北中心)</t>
    <phoneticPr fontId="9" type="noConversion"/>
  </si>
  <si>
    <t>[BPM] Business Process Monitor : 9.53</t>
    <phoneticPr fontId="9" type="noConversion"/>
  </si>
  <si>
    <t>disk_1 : 100</t>
    <phoneticPr fontId="9" type="noConversion"/>
  </si>
  <si>
    <t>ens_srv : 10.200.6.21
ens_mgt : 10.254.16.21
ens_bak : 10.200.26.21
ens_nfs : 10.200.36.21</t>
    <phoneticPr fontId="9" type="noConversion"/>
  </si>
  <si>
    <t>TCP_80</t>
    <phoneticPr fontId="9" type="noConversion"/>
  </si>
  <si>
    <t>ppdyna01</t>
    <phoneticPr fontId="9" type="noConversion"/>
  </si>
  <si>
    <t>Dynatrace管理伺服器</t>
    <phoneticPr fontId="9" type="noConversion"/>
  </si>
  <si>
    <t>Dynatrace Managed Srvver : 1.223+</t>
    <phoneticPr fontId="9" type="noConversion"/>
  </si>
  <si>
    <t>ens_srv : 10.200.6.23
ens_mgt : 10.254.16.23
ens_bak : 10.200.26.23
ens_nfs : 10.200.36.23</t>
    <phoneticPr fontId="9" type="noConversion"/>
  </si>
  <si>
    <t>TCP_443</t>
    <phoneticPr fontId="9" type="noConversion"/>
  </si>
  <si>
    <t>Dynatrace</t>
    <phoneticPr fontId="9" type="noConversion"/>
  </si>
  <si>
    <t>ppdns01</t>
    <phoneticPr fontId="9" type="noConversion"/>
  </si>
  <si>
    <t>張世群</t>
    <phoneticPr fontId="9" type="noConversion"/>
  </si>
  <si>
    <t>臨時DNS伺服器</t>
    <phoneticPr fontId="9" type="noConversion"/>
  </si>
  <si>
    <t>bind 9 : 9.11.26-3.el8</t>
    <phoneticPr fontId="9" type="noConversion"/>
  </si>
  <si>
    <t>ens_srv : 10.200.6.41
ens_mgt : 10.254.16.41
ens_bak : 10.200.26.41
ens_nfs : 10.200.36.41</t>
    <phoneticPr fontId="9" type="noConversion"/>
  </si>
  <si>
    <t>ppnamon01</t>
    <phoneticPr fontId="9" type="noConversion"/>
  </si>
  <si>
    <t>NetApp監控工具</t>
    <phoneticPr fontId="9" type="noConversion"/>
  </si>
  <si>
    <t>Active IQ Unified Manager : 9.9</t>
    <phoneticPr fontId="9" type="noConversion"/>
  </si>
  <si>
    <t>ens_srv : 10.200.6.85
ens_mgt : 10.254.16.85
ens_bak : 10.200.26.85
ens_nfs : 10.200.36.85</t>
    <phoneticPr fontId="9" type="noConversion"/>
  </si>
  <si>
    <t>TCP_80
TCP_443
TCP_22
TCP_3306
TCP_514
TCP_9443</t>
    <phoneticPr fontId="9" type="noConversion"/>
  </si>
  <si>
    <t>ppmcc01</t>
    <phoneticPr fontId="9" type="noConversion"/>
  </si>
  <si>
    <t>NetApp MCC仲裁監控</t>
    <phoneticPr fontId="9" type="noConversion"/>
  </si>
  <si>
    <t>Mediator : 1.3</t>
    <phoneticPr fontId="9" type="noConversion"/>
  </si>
  <si>
    <t>10.254.10.189</t>
    <phoneticPr fontId="9" type="noConversion"/>
  </si>
  <si>
    <t>TCP_31784
TCP_3260</t>
    <phoneticPr fontId="9" type="noConversion"/>
  </si>
  <si>
    <t>ppoem01</t>
    <phoneticPr fontId="9" type="noConversion"/>
  </si>
  <si>
    <t>監控網段</t>
    <phoneticPr fontId="9" type="noConversion"/>
  </si>
  <si>
    <t>oracle資料庫 OEM監控平台</t>
    <phoneticPr fontId="9" type="noConversion"/>
  </si>
  <si>
    <t>ORACLE OEM : 13.5</t>
    <phoneticPr fontId="9" type="noConversion"/>
  </si>
  <si>
    <t>ens_srv : 10.200.6.71
ens_mgt : 10.254.16.71
ens_bak : 10.200.26.71
ens_nfs : 10.200.36.71</t>
    <phoneticPr fontId="9" type="noConversion"/>
  </si>
  <si>
    <t>TCP_3389
TCP_7788
TCP_7799 : https
ICMP 7
TCP_3872 : http
TCP_1521
TCP_1159 : https</t>
    <phoneticPr fontId="9" type="noConversion"/>
  </si>
  <si>
    <t>pporamon01</t>
    <phoneticPr fontId="9" type="noConversion"/>
  </si>
  <si>
    <t>資料庫監控報表網站</t>
    <phoneticPr fontId="9" type="noConversion"/>
  </si>
  <si>
    <t>ens_srv : 10.200.6.73
ens_mgt : 10.254.16.73
ens_bak : 10.200.26.73
ens_nfs : 10.200.36.73</t>
    <phoneticPr fontId="9" type="noConversion"/>
  </si>
  <si>
    <t>TCP_22
TCP_8080</t>
    <phoneticPr fontId="9" type="noConversion"/>
  </si>
  <si>
    <t>ppvc01</t>
    <phoneticPr fontId="9" type="noConversion"/>
  </si>
  <si>
    <t>vCenter</t>
    <phoneticPr fontId="9" type="noConversion"/>
  </si>
  <si>
    <t>7.0u3c</t>
    <phoneticPr fontId="9" type="noConversion"/>
  </si>
  <si>
    <t>楊耘安</t>
    <phoneticPr fontId="9" type="noConversion"/>
  </si>
  <si>
    <t>管理ESXi</t>
    <phoneticPr fontId="9" type="noConversion"/>
  </si>
  <si>
    <t>vCenter : 7.0 u3c</t>
    <phoneticPr fontId="9" type="noConversion"/>
  </si>
  <si>
    <t>disk_1 : 600</t>
    <phoneticPr fontId="9" type="noConversion"/>
  </si>
  <si>
    <t>10.254.10.9</t>
    <phoneticPr fontId="9" type="noConversion"/>
  </si>
  <si>
    <t>TCP_80
TCP_443
TCP_5480</t>
    <phoneticPr fontId="9" type="noConversion"/>
  </si>
  <si>
    <t>pphdsmon01</t>
    <phoneticPr fontId="9" type="noConversion"/>
  </si>
  <si>
    <t>Oracle Linux</t>
    <phoneticPr fontId="9" type="noConversion"/>
  </si>
  <si>
    <t># ova匯入</t>
    <phoneticPr fontId="9" type="noConversion"/>
  </si>
  <si>
    <t>Ops Center Administrator+Analyzer+Protecotor
Ops Center管理介面與分析功能介面</t>
    <phoneticPr fontId="9" type="noConversion"/>
  </si>
  <si>
    <t>Hitachi Ops Center Analyzer server : 10.9.0-01</t>
    <phoneticPr fontId="9" type="noConversion"/>
  </si>
  <si>
    <t>disk_1 : 900</t>
    <phoneticPr fontId="9" type="noConversion"/>
  </si>
  <si>
    <t>10.254.10.93</t>
    <phoneticPr fontId="9" type="noConversion"/>
  </si>
  <si>
    <t>TCP_22015
TCP_22016
TCP_20964
TCP_30304
TCP_443
TCP_20961
TCP_22016
TCP_20964
TCP_80
TCP_443
TCP_53
TCP_22
TCP_443
TCP_1099
TCP_51099
TCP_51100-51135
TCP_5443
TCP_11099
UDP_31001</t>
    <phoneticPr fontId="9" type="noConversion"/>
  </si>
  <si>
    <t>pphdsmon02</t>
    <phoneticPr fontId="9" type="noConversion"/>
  </si>
  <si>
    <t>Ops Center Analyzer probe server
Ops Center對設備資訊收集服器</t>
    <phoneticPr fontId="9" type="noConversion"/>
  </si>
  <si>
    <t>Hitachi Ops Center Analyzer probe server : 10.9.0-01</t>
    <phoneticPr fontId="9" type="noConversion"/>
  </si>
  <si>
    <t>disk_1 : 150</t>
    <phoneticPr fontId="9" type="noConversion"/>
  </si>
  <si>
    <t>10.254.10.94</t>
    <phoneticPr fontId="9" type="noConversion"/>
  </si>
  <si>
    <t>TCP_8443
TCP_8080
TCP_22</t>
    <phoneticPr fontId="9" type="noConversion"/>
  </si>
  <si>
    <t>ppasb01</t>
    <phoneticPr fontId="9" type="noConversion"/>
  </si>
  <si>
    <t>Ansible派送主機</t>
    <phoneticPr fontId="9" type="noConversion"/>
  </si>
  <si>
    <t>Ansible : 2.9.27</t>
    <phoneticPr fontId="9" type="noConversion"/>
  </si>
  <si>
    <t>ens_srv : 10.200.6.99
ens_mgt : 10.254.16.99
ens_bak : 10.200.26.99
ens_nfs : 10.200.36.99</t>
    <phoneticPr fontId="9" type="noConversion"/>
  </si>
  <si>
    <t>Ansible</t>
    <phoneticPr fontId="9" type="noConversion"/>
  </si>
  <si>
    <t>ppgiga01</t>
    <phoneticPr fontId="9" type="noConversion"/>
  </si>
  <si>
    <t>GigaVUE-FM</t>
    <phoneticPr fontId="9" type="noConversion"/>
  </si>
  <si>
    <t>FM5.15</t>
    <phoneticPr fontId="9" type="noConversion"/>
  </si>
  <si>
    <t>游承翰</t>
    <phoneticPr fontId="9" type="noConversion"/>
  </si>
  <si>
    <t>流量分流系統中控台</t>
    <phoneticPr fontId="9" type="noConversion"/>
  </si>
  <si>
    <t>10.254.2.50</t>
    <phoneticPr fontId="9" type="noConversion"/>
  </si>
  <si>
    <t>N</t>
  </si>
  <si>
    <t>ppanch01</t>
    <phoneticPr fontId="9" type="noConversion"/>
  </si>
  <si>
    <t>Windows Server Std Core 2019</t>
    <phoneticPr fontId="9" type="noConversion"/>
  </si>
  <si>
    <t>ANCHOR HA節點1</t>
    <phoneticPr fontId="9" type="noConversion"/>
  </si>
  <si>
    <t>ANCHOR ETP Plus : 2.5</t>
    <phoneticPr fontId="9" type="noConversion"/>
  </si>
  <si>
    <t>disk_1 : 500</t>
    <phoneticPr fontId="9" type="noConversion"/>
  </si>
  <si>
    <t># CHTS自備NAS</t>
    <phoneticPr fontId="9" type="noConversion"/>
  </si>
  <si>
    <t>10.254.1.151</t>
    <phoneticPr fontId="9" type="noConversion"/>
  </si>
  <si>
    <t>TCP_443
TCP_8001
TCP_8002
TCP_8003</t>
    <phoneticPr fontId="9" type="noConversion"/>
  </si>
  <si>
    <t>ANCHOR</t>
    <phoneticPr fontId="9" type="noConversion"/>
  </si>
  <si>
    <t>ppanch02</t>
    <phoneticPr fontId="9" type="noConversion"/>
  </si>
  <si>
    <t>ANCHOR HA節點2</t>
    <phoneticPr fontId="9" type="noConversion"/>
  </si>
  <si>
    <t>10.254.1.152</t>
    <phoneticPr fontId="9" type="noConversion"/>
  </si>
  <si>
    <t>ppavdi01</t>
    <phoneticPr fontId="9" type="noConversion"/>
  </si>
  <si>
    <t>ANCHOR VDI-操作側錄伺服器</t>
    <phoneticPr fontId="9" type="noConversion"/>
  </si>
  <si>
    <t>ANCHOR VDI : 2.5</t>
    <phoneticPr fontId="9" type="noConversion"/>
  </si>
  <si>
    <t>10.254.1.153</t>
    <phoneticPr fontId="9" type="noConversion"/>
  </si>
  <si>
    <t>TCP_3389</t>
    <phoneticPr fontId="9" type="noConversion"/>
  </si>
  <si>
    <t>ppfsim00</t>
    <phoneticPr fontId="9" type="noConversion"/>
  </si>
  <si>
    <t>FSM</t>
    <phoneticPr fontId="9" type="noConversion"/>
  </si>
  <si>
    <t>6.5.0 Up</t>
    <phoneticPr fontId="9" type="noConversion"/>
  </si>
  <si>
    <t>資安日誌及流量分析功能</t>
    <phoneticPr fontId="9" type="noConversion"/>
  </si>
  <si>
    <t>disk_1 : 25 (OS)
disk_2 : 100 (OPT)
disk_3 : 60 (CMDB)
disk_4 : 60 (SVN)</t>
    <phoneticPr fontId="9" type="noConversion"/>
  </si>
  <si>
    <t>10.254.2.60</t>
    <phoneticPr fontId="9" type="noConversion"/>
  </si>
  <si>
    <t>ppfadc01</t>
    <phoneticPr fontId="9" type="noConversion"/>
  </si>
  <si>
    <t>FAD</t>
    <phoneticPr fontId="9" type="noConversion"/>
  </si>
  <si>
    <t>7.0.1 Up</t>
    <phoneticPr fontId="9" type="noConversion"/>
  </si>
  <si>
    <t>disk_1 : 10
disk_2 : 30 (OS)</t>
    <phoneticPr fontId="9" type="noConversion"/>
  </si>
  <si>
    <t>10.254.2.61</t>
    <phoneticPr fontId="9" type="noConversion"/>
  </si>
  <si>
    <t>ppfsim01</t>
    <phoneticPr fontId="9" type="noConversion"/>
  </si>
  <si>
    <t>disk_1 : 25 (OS)
disk_2 : 100 (OPT)</t>
    <phoneticPr fontId="9" type="noConversion"/>
  </si>
  <si>
    <t>10.254.2.62</t>
    <phoneticPr fontId="9" type="noConversion"/>
  </si>
  <si>
    <t>ppfsim02</t>
    <phoneticPr fontId="9" type="noConversion"/>
  </si>
  <si>
    <t>10.254.2.63</t>
    <phoneticPr fontId="9" type="noConversion"/>
  </si>
  <si>
    <t>ppfsim03</t>
    <phoneticPr fontId="9" type="noConversion"/>
  </si>
  <si>
    <t>10.254.2.64</t>
    <phoneticPr fontId="9" type="noConversion"/>
  </si>
  <si>
    <t>pparc01</t>
    <phoneticPr fontId="9" type="noConversion"/>
  </si>
  <si>
    <t># 傳統</t>
    <phoneticPr fontId="9" type="noConversion"/>
  </si>
  <si>
    <t>設備日誌收容代理</t>
    <phoneticPr fontId="9" type="noConversion"/>
  </si>
  <si>
    <t>ArcSight Smart Connector : 8.3</t>
    <phoneticPr fontId="9" type="noConversion"/>
  </si>
  <si>
    <t>disk_1 : 600 (/opt)</t>
    <phoneticPr fontId="9" type="noConversion"/>
  </si>
  <si>
    <t>10.254.2.66</t>
    <phoneticPr fontId="9" type="noConversion"/>
  </si>
  <si>
    <t>pparc02</t>
    <phoneticPr fontId="9" type="noConversion"/>
  </si>
  <si>
    <t>10.254.2.67</t>
    <phoneticPr fontId="9" type="noConversion"/>
  </si>
  <si>
    <t>pparc00</t>
    <phoneticPr fontId="9" type="noConversion"/>
  </si>
  <si>
    <t>設備日誌收容保存
設備日誌查詢</t>
    <phoneticPr fontId="9" type="noConversion"/>
  </si>
  <si>
    <t>ArcSight Logger : 7.2</t>
    <phoneticPr fontId="9" type="noConversion"/>
  </si>
  <si>
    <t>disk_1 : 12000 (/opt)</t>
    <phoneticPr fontId="9" type="noConversion"/>
  </si>
  <si>
    <t>10.254.2.70</t>
    <phoneticPr fontId="9" type="noConversion"/>
  </si>
  <si>
    <t>ppdcs01</t>
    <phoneticPr fontId="9" type="noConversion"/>
  </si>
  <si>
    <t>網站防竄改管理平台</t>
    <phoneticPr fontId="9" type="noConversion"/>
  </si>
  <si>
    <t>Symantec Data Center Security: SA
MSSQL Std Core : 6.9.2 2019</t>
    <phoneticPr fontId="9" type="noConversion"/>
  </si>
  <si>
    <t>disk_1 : 250</t>
    <phoneticPr fontId="9" type="noConversion"/>
  </si>
  <si>
    <t>10.254.2.71</t>
    <phoneticPr fontId="9" type="noConversion"/>
  </si>
  <si>
    <t>TCP_443
TCP_2443
TCP_4443
TCP_8081
TCP_8006
TCP_8443</t>
    <phoneticPr fontId="9" type="noConversion"/>
  </si>
  <si>
    <t>ppilm01</t>
    <phoneticPr fontId="9" type="noConversion"/>
  </si>
  <si>
    <t>備援環境</t>
    <phoneticPr fontId="9" type="noConversion"/>
  </si>
  <si>
    <t>陳鵬聲</t>
    <phoneticPr fontId="9" type="noConversion"/>
  </si>
  <si>
    <t>日誌收集系統</t>
    <phoneticPr fontId="9" type="noConversion"/>
  </si>
  <si>
    <t>CHT ILM</t>
    <phoneticPr fontId="9" type="noConversion"/>
  </si>
  <si>
    <t>ens_srv : 10.200.6.51
ens_mgt : 10.254.16.51
ens_bak : 10.200.26.51
ens_nfs : 10.200.36.51</t>
    <phoneticPr fontId="9" type="noConversion"/>
  </si>
  <si>
    <t>ilm</t>
    <phoneticPr fontId="9" type="noConversion"/>
  </si>
  <si>
    <t>ppxcpweb01</t>
    <phoneticPr fontId="9" type="noConversion"/>
  </si>
  <si>
    <t>延續案環境</t>
    <phoneticPr fontId="9" type="noConversion"/>
  </si>
  <si>
    <t>WEB</t>
    <phoneticPr fontId="9" type="noConversion"/>
  </si>
  <si>
    <t>資料移轉-常態驗證</t>
    <phoneticPr fontId="9" type="noConversion"/>
  </si>
  <si>
    <t>XCP : 1.7</t>
    <phoneticPr fontId="9" type="noConversion"/>
  </si>
  <si>
    <t>ens_srv : 10.81.1.171
ens_mgt : 10.81.10.171
ens_nfs : 192.168.1.171</t>
    <phoneticPr fontId="9" type="noConversion"/>
  </si>
  <si>
    <t>N</t>
    <phoneticPr fontId="9" type="noConversion"/>
  </si>
  <si>
    <t>ppxcpweb02</t>
    <phoneticPr fontId="9" type="noConversion"/>
  </si>
  <si>
    <t>ens_srv : 10.81.1.172
ens_mgt : 10.81.10.172
ens_nfs : 192.168.1.172</t>
    <phoneticPr fontId="9" type="noConversion"/>
  </si>
  <si>
    <t>ppxcpap01</t>
    <phoneticPr fontId="9" type="noConversion"/>
  </si>
  <si>
    <t>ens_srv : 10.81.2.171
ens_mgt : 10.81.11.171
ens_nfs : 192.168.2.171</t>
    <phoneticPr fontId="9" type="noConversion"/>
  </si>
  <si>
    <t>ppxcpap02</t>
    <phoneticPr fontId="9" type="noConversion"/>
  </si>
  <si>
    <t>ens_srv : 10.81.2.172
ens_mgt : 10.81.11.172
ens_nfs : 192.168.2.172</t>
    <phoneticPr fontId="9" type="noConversion"/>
  </si>
  <si>
    <t>ppxcpap03</t>
    <phoneticPr fontId="9" type="noConversion"/>
  </si>
  <si>
    <t>ens_srv : 10.81.2.173
ens_mgt : 10.81.11.173
ens_nfs : 192.168.2.173</t>
    <phoneticPr fontId="9" type="noConversion"/>
  </si>
  <si>
    <t>ppxcpap04</t>
    <phoneticPr fontId="9" type="noConversion"/>
  </si>
  <si>
    <t>ens_srv : 10.81.2.174
ens_mgt : 10.81.11.174
ens_nfs : 192.168.2.174</t>
    <phoneticPr fontId="9" type="noConversion"/>
  </si>
  <si>
    <t>ppxcpap05</t>
    <phoneticPr fontId="9" type="noConversion"/>
  </si>
  <si>
    <t>資料移轉-每月掛載</t>
    <phoneticPr fontId="9" type="noConversion"/>
  </si>
  <si>
    <t>ens_srv : 10.81.2.175
ens_mgt : 10.81.11.175
ens_nfs : 192.168.2.175</t>
    <phoneticPr fontId="9" type="noConversion"/>
  </si>
  <si>
    <t>dpxcpweb01</t>
    <phoneticPr fontId="9" type="noConversion"/>
  </si>
  <si>
    <t>ens_srv : 10.81.1.171
ens_mgt : 10.82.10.171
ens_nfs : 192.168.1.171</t>
    <phoneticPr fontId="9" type="noConversion"/>
  </si>
  <si>
    <t>dpxcpweb02</t>
    <phoneticPr fontId="9" type="noConversion"/>
  </si>
  <si>
    <t>ens_srv : 10.81.1.172
ens_mgt : 10.82.10.172
ens_nfs : 192.168.1.172</t>
    <phoneticPr fontId="9" type="noConversion"/>
  </si>
  <si>
    <t>dpxcpap01</t>
    <phoneticPr fontId="9" type="noConversion"/>
  </si>
  <si>
    <t>ens_srv : 10.81.2.171
ens_mgt : 10.82.11.171
ens_nfs : 192.168.2.171</t>
    <phoneticPr fontId="9" type="noConversion"/>
  </si>
  <si>
    <t>dpxcpap02</t>
    <phoneticPr fontId="9" type="noConversion"/>
  </si>
  <si>
    <t>ens_srv : 10.81.2.172
ens_mgt : 10.82.11.172
ens_nfs : 192.168.2.172</t>
    <phoneticPr fontId="9" type="noConversion"/>
  </si>
  <si>
    <t>dpxcpap03</t>
    <phoneticPr fontId="9" type="noConversion"/>
  </si>
  <si>
    <t>ens_srv : 10.81.2.173
ens_mgt : 10.82.11.173
ens_nfs : 192.168.2.173</t>
    <phoneticPr fontId="9" type="noConversion"/>
  </si>
  <si>
    <t>dpxcpap04</t>
    <phoneticPr fontId="9" type="noConversion"/>
  </si>
  <si>
    <t>ens_srv : 10.81.2.174
ens_mgt : 10.82.11.174
ens_nfs : 192.168.2.174</t>
    <phoneticPr fontId="9" type="noConversion"/>
  </si>
  <si>
    <t>dpxcpap05</t>
    <phoneticPr fontId="9" type="noConversion"/>
  </si>
  <si>
    <t>ens_srv : 10.81.2.175
ens_mgt : 10.82.11.175
ens_nfs : 192.168.2.175</t>
    <phoneticPr fontId="9" type="noConversion"/>
  </si>
  <si>
    <t>驗證環境</t>
    <phoneticPr fontId="9" type="noConversion"/>
  </si>
  <si>
    <t>pvftp01</t>
    <phoneticPr fontId="9" type="noConversion"/>
  </si>
  <si>
    <t>發票上傳</t>
    <phoneticPr fontId="9" type="noConversion"/>
  </si>
  <si>
    <t>GoAnywhere MFT : 7.1.2</t>
    <phoneticPr fontId="9" type="noConversion"/>
  </si>
  <si>
    <t>ens_srv : 10.200.101.41
ens_mgt : 10.254.111.41
ens_bak : 10.200.121.41
ens_nfs : 10.200.131.41</t>
    <phoneticPr fontId="9" type="noConversion"/>
  </si>
  <si>
    <t>GoAnywhere</t>
    <phoneticPr fontId="9" type="noConversion"/>
  </si>
  <si>
    <t>pvftp02</t>
    <phoneticPr fontId="9" type="noConversion"/>
  </si>
  <si>
    <t xml:space="preserve">ens_srv : 10.200.101.42
ens_mgt : 10.254.111.42
ens_bak : 10.200.121.42
ens_nfs : 10.200.131.42
</t>
    <phoneticPr fontId="9" type="noConversion"/>
  </si>
  <si>
    <t>GoAnywhere</t>
  </si>
  <si>
    <t>pvftp03</t>
    <phoneticPr fontId="9" type="noConversion"/>
  </si>
  <si>
    <t>特姝營業人檔案交換</t>
    <phoneticPr fontId="9" type="noConversion"/>
  </si>
  <si>
    <t>ens_srv : 10.200.101.43
ens_mgt : 10.254.111.43
ens_bak : 10.200.121.43
ens_nfs : 10.200.131.43</t>
    <phoneticPr fontId="9" type="noConversion"/>
  </si>
  <si>
    <t>pvedir01</t>
    <phoneticPr fontId="9" type="noConversion"/>
  </si>
  <si>
    <t>SUSE</t>
    <phoneticPr fontId="9" type="noConversion"/>
  </si>
  <si>
    <t>目錄服務</t>
    <phoneticPr fontId="9" type="noConversion"/>
  </si>
  <si>
    <t>莊俊宏</t>
    <phoneticPr fontId="9" type="noConversion"/>
  </si>
  <si>
    <t>LDAP</t>
    <phoneticPr fontId="9" type="noConversion"/>
  </si>
  <si>
    <t>eDirectory : 9.2.6</t>
    <phoneticPr fontId="9" type="noConversion"/>
  </si>
  <si>
    <t>ens_srv : 10.200.101.51
ens_mgt : 10.254.111.51
ens_bak : 10.200.121.51
ens_nfs : 10.200.131.51</t>
    <phoneticPr fontId="9" type="noConversion"/>
  </si>
  <si>
    <t>TCP_524
TCP_427
TCP_8080
TCP_8443
TCP_8028
TCP_8030
TCP_389
TCP_636
TCP_22</t>
    <phoneticPr fontId="9" type="noConversion"/>
  </si>
  <si>
    <t>eDirectory</t>
  </si>
  <si>
    <t>pveddb01</t>
    <phoneticPr fontId="9" type="noConversion"/>
  </si>
  <si>
    <t>LDAP資料異動同步</t>
    <phoneticPr fontId="9" type="noConversion"/>
  </si>
  <si>
    <t>LDAP資料異動同步程式 (新舊系統同步使用)
MariaDB : 10</t>
    <phoneticPr fontId="9" type="noConversion"/>
  </si>
  <si>
    <t>ens_srv : 10.200.101.52
ens_mgt : 10.254.111.52
ens_bak : 10.200.121.52
ens_nfs : 10.200.131.52</t>
    <phoneticPr fontId="9" type="noConversion"/>
  </si>
  <si>
    <t>TCP_80
TCP_3306</t>
    <phoneticPr fontId="9" type="noConversion"/>
  </si>
  <si>
    <t>MariaDB</t>
    <phoneticPr fontId="9" type="noConversion"/>
  </si>
  <si>
    <t>pvedirsync01</t>
    <phoneticPr fontId="9" type="noConversion"/>
  </si>
  <si>
    <t>Temp Srvver</t>
    <phoneticPr fontId="9" type="noConversion"/>
  </si>
  <si>
    <t>LDAP資料異動同步程式 (新舊系統同步使用) : 8.8.7</t>
    <phoneticPr fontId="9" type="noConversion"/>
  </si>
  <si>
    <t>ens_srv : 10.200.101.53
ens_mgt : 10.254.111.53
ens_bak : 10.200.121.53
ens_nfs : 10.200.131.53</t>
    <phoneticPr fontId="9" type="noConversion"/>
  </si>
  <si>
    <t>pvweb01</t>
    <phoneticPr fontId="9" type="noConversion"/>
  </si>
  <si>
    <t>JBCS</t>
    <phoneticPr fontId="9" type="noConversion"/>
  </si>
  <si>
    <t>運作WEB服務</t>
    <phoneticPr fontId="9" type="noConversion"/>
  </si>
  <si>
    <t>ens_srv : 10.200.101.31
ens_mgt : 10.254.111.31
ens_bak : 10.200.121.31
ens_nfs : 10.200.131.31</t>
    <phoneticPr fontId="9" type="noConversion"/>
  </si>
  <si>
    <t>Jboss</t>
  </si>
  <si>
    <t>pvweb02</t>
    <phoneticPr fontId="9" type="noConversion"/>
  </si>
  <si>
    <t>ens_srv : 10.200.101.32
ens_mgt : 10.254.111.32
ens_bak : 10.200.121.32
ens_nfs : 10.200.131.32</t>
    <phoneticPr fontId="9" type="noConversion"/>
  </si>
  <si>
    <t>pvweb03</t>
    <phoneticPr fontId="9" type="noConversion"/>
  </si>
  <si>
    <t>ens_srv : 10.200.101.33
ens_mgt : 10.254.111.33
ens_bak : 10.200.121.33
ens_nfs : 10.200.131.33</t>
    <phoneticPr fontId="9" type="noConversion"/>
  </si>
  <si>
    <t>pvweb04</t>
    <phoneticPr fontId="9" type="noConversion"/>
  </si>
  <si>
    <t>ens_srv : 10.200.101.34
ens_mgt : 10.254.111.34
ens_bak : 10.200.121.34
ens_nfs : 10.200.131.34</t>
    <phoneticPr fontId="9" type="noConversion"/>
  </si>
  <si>
    <t>pvbap01</t>
    <phoneticPr fontId="9" type="noConversion"/>
  </si>
  <si>
    <t>OCP第1套</t>
    <phoneticPr fontId="9" type="noConversion"/>
  </si>
  <si>
    <t>(Cluster01) Bastion</t>
    <phoneticPr fontId="9" type="noConversion"/>
  </si>
  <si>
    <t>ens_srv : 10.200.102.11
ens_mgt : 10.254.112.11
ens_bak : 10.200.122.11
ens_nfs : 10.200.132.11</t>
    <phoneticPr fontId="9" type="noConversion"/>
  </si>
  <si>
    <t>Openshift</t>
  </si>
  <si>
    <t>pvreg01</t>
    <phoneticPr fontId="9" type="noConversion"/>
  </si>
  <si>
    <t>(台北驗證環境) Mirror Registry [OCP離線安裝]</t>
    <phoneticPr fontId="9" type="noConversion"/>
  </si>
  <si>
    <t>ens_srv : 10.200.102.10
ens_mgt : 10.254.112.10
ens_bak : 10.200.122.10
ens_nfs : 10.200.132.10</t>
    <phoneticPr fontId="9" type="noConversion"/>
  </si>
  <si>
    <t>pvap01</t>
    <phoneticPr fontId="9" type="noConversion"/>
  </si>
  <si>
    <t>ens_srv : 10.200.102.91
ens_mgt : 10.254.112.91
ens_bak : 10.200.122.91
ens_nfs : 10.200.132.91</t>
    <phoneticPr fontId="9" type="noConversion"/>
  </si>
  <si>
    <t>pvap02</t>
    <phoneticPr fontId="9" type="noConversion"/>
  </si>
  <si>
    <t>ens_srv : 10.200.102.92
ens_mgt : 10.254.112.92
ens_bak : 10.200.122.92
ens_nfs : 10.200.132.92</t>
    <phoneticPr fontId="9" type="noConversion"/>
  </si>
  <si>
    <t>pvap03</t>
    <phoneticPr fontId="9" type="noConversion"/>
  </si>
  <si>
    <t>ens_srv : 10.200.102.93
ens_mgt : 10.254.112.93
ens_bak : 10.200.122.93
ens_nfs : 10.200.132.93</t>
    <phoneticPr fontId="9" type="noConversion"/>
  </si>
  <si>
    <t>pvap04</t>
    <phoneticPr fontId="9" type="noConversion"/>
  </si>
  <si>
    <t>ens_srv : 10.200.102.94
ens_mgt : 10.254.112.94
ens_bak : 10.200.122.94
ens_nfs : 10.200.132.94</t>
    <phoneticPr fontId="9" type="noConversion"/>
  </si>
  <si>
    <t>pvap05</t>
    <phoneticPr fontId="9" type="noConversion"/>
  </si>
  <si>
    <t>ens_srv : 10.200.102.95
ens_mgt : 10.254.112.95
ens_bak : 10.200.122.95
ens_nfs : 10.200.132.95</t>
    <phoneticPr fontId="9" type="noConversion"/>
  </si>
  <si>
    <t>pvap06</t>
    <phoneticPr fontId="9" type="noConversion"/>
  </si>
  <si>
    <t>ens_srv : 10.200.102.96
ens_mgt : 10.254.112.96
ens_bak : 10.200.122.96
ens_nfs : 10.200.132.96</t>
    <phoneticPr fontId="9" type="noConversion"/>
  </si>
  <si>
    <t>pvap07</t>
    <phoneticPr fontId="9" type="noConversion"/>
  </si>
  <si>
    <t>ens_srv : 10.200.102.97
ens_mgt : 10.254.112.97
ens_bak : 10.200.122.97
ens_nfs : 10.200.132.97</t>
    <phoneticPr fontId="9" type="noConversion"/>
  </si>
  <si>
    <t>pvap08</t>
    <phoneticPr fontId="9" type="noConversion"/>
  </si>
  <si>
    <t>ens_srv : 10.200.102.98
ens_mgt : 10.254.112.98
ens_bak : 10.200.122.98
ens_nfs : 10.200.132.98</t>
    <phoneticPr fontId="9" type="noConversion"/>
  </si>
  <si>
    <t>pvkfk01</t>
    <phoneticPr fontId="9" type="noConversion"/>
  </si>
  <si>
    <t>ens_srv : 10.200.102.101
ens_mgt : 10.254.112.101
ens_bak : 10.200.122.101
ens_nfs : 10.200.132.101</t>
    <phoneticPr fontId="9" type="noConversion"/>
  </si>
  <si>
    <t>10.254.112.108 : ens_srv</t>
  </si>
  <si>
    <t>pvkfk02</t>
    <phoneticPr fontId="9" type="noConversion"/>
  </si>
  <si>
    <t>ens_srv : 10.200.102.102
ens_mgt : 10.254.112.102
ens_bak : 10.200.122.102
ens_nfs : 10.200.132.102</t>
    <phoneticPr fontId="9" type="noConversion"/>
  </si>
  <si>
    <t>pvkfk03</t>
    <phoneticPr fontId="9" type="noConversion"/>
  </si>
  <si>
    <t>ens_srv : 10.200.102.103
ens_mgt : 10.254.112.103
ens_bak : 10.200.122.103
ens_nfs : 10.200.132.103</t>
    <phoneticPr fontId="9" type="noConversion"/>
  </si>
  <si>
    <t>pvcicd01</t>
    <phoneticPr fontId="9" type="noConversion"/>
  </si>
  <si>
    <t>ens_srv : 10.200.102.109
ens_mgt : 10.254.112.109
ens_bak : 10.200.122.109
ens_nfs : 10.200.132.109</t>
    <phoneticPr fontId="9" type="noConversion"/>
  </si>
  <si>
    <t>pvbg01</t>
    <phoneticPr fontId="9" type="noConversion"/>
  </si>
  <si>
    <t>批次主機(參考10.81.102.51)</t>
    <phoneticPr fontId="9" type="noConversion"/>
  </si>
  <si>
    <t>ens_srv : 10.200.102.111
ens_mgt : 10.254.112.111
ens_bak : 10.200.122.111
ens_nfs : 10.200.132.111</t>
    <phoneticPr fontId="9" type="noConversion"/>
  </si>
  <si>
    <t>pvbg02</t>
    <phoneticPr fontId="9" type="noConversion"/>
  </si>
  <si>
    <t>批次主機(參考10.81.102.52)</t>
    <phoneticPr fontId="9" type="noConversion"/>
  </si>
  <si>
    <t>ens_srv : 10.200.102.112
ens_mgt : 10.254.112.112
ens_bak : 10.200.122.112
ens_nfs : 10.200.132.112</t>
    <phoneticPr fontId="9" type="noConversion"/>
  </si>
  <si>
    <t>pvbg03</t>
    <phoneticPr fontId="9" type="noConversion"/>
  </si>
  <si>
    <t>批次主機(參考10.81.102.91)</t>
    <phoneticPr fontId="9" type="noConversion"/>
  </si>
  <si>
    <t>ens_srv : 10.200.102.113
ens_mgt : 10.254.112.113
ens_bak : 10.200.122.113
ens_nfs : 10.200.132.113</t>
    <phoneticPr fontId="9" type="noConversion"/>
  </si>
  <si>
    <t>pvbg04</t>
    <phoneticPr fontId="9" type="noConversion"/>
  </si>
  <si>
    <t>批次主機(參考10.85.252.151)</t>
    <phoneticPr fontId="9" type="noConversion"/>
  </si>
  <si>
    <t>ens_srv : 10.200.102.114
ens_mgt : 10.254.112.114
ens_bak : 10.200.122.114
ens_nfs : 10.200.132.114</t>
    <phoneticPr fontId="9" type="noConversion"/>
  </si>
  <si>
    <t>pvredis01</t>
    <phoneticPr fontId="9" type="noConversion"/>
  </si>
  <si>
    <t>記憶體快取服務</t>
    <phoneticPr fontId="9" type="noConversion"/>
  </si>
  <si>
    <t>ens_srv : 10.200.102.125
ens_mgt : 10.254.112.125
ens_bak : 10.200.122.125
ens_nfs : 10.200.132.125</t>
    <phoneticPr fontId="9" type="noConversion"/>
  </si>
  <si>
    <t>Redis</t>
  </si>
  <si>
    <t>pvva01</t>
    <phoneticPr fontId="9" type="noConversion"/>
  </si>
  <si>
    <t>簽章驗證主機(參考10.81.102.61)</t>
    <phoneticPr fontId="9" type="noConversion"/>
  </si>
  <si>
    <t>ens_srv : 10.200.102.131
ens_mgt : 10.254.112.131
ens_bak : 10.200.122.131
ens_nfs : 10.200.132.131</t>
    <phoneticPr fontId="9" type="noConversion"/>
  </si>
  <si>
    <t>pvva02</t>
    <phoneticPr fontId="9" type="noConversion"/>
  </si>
  <si>
    <t>ens_srv : 10.200.102.132
ens_mgt : 10.254.112.132
ens_bak : 10.200.122.132
ens_nfs : 10.200.132.132</t>
    <phoneticPr fontId="9" type="noConversion"/>
  </si>
  <si>
    <t>pvva03</t>
    <phoneticPr fontId="9" type="noConversion"/>
  </si>
  <si>
    <t>ens_srv : 10.200.102.133
ens_mgt : 10.254.112.133
ens_bak : 10.200.122.133
ens_nfs : 10.200.132.133</t>
    <phoneticPr fontId="9" type="noConversion"/>
  </si>
  <si>
    <t>pvmp01</t>
    <phoneticPr fontId="9" type="noConversion"/>
  </si>
  <si>
    <t>發票驗證主機(參考10.81.102.91)</t>
    <phoneticPr fontId="9" type="noConversion"/>
  </si>
  <si>
    <t>ens_srv : 10.200.102.141
ens_mgt : 10.254.112.141
ens_bak : 10.200.122.141
ens_nfs : 10.200.132.141</t>
    <phoneticPr fontId="9" type="noConversion"/>
  </si>
  <si>
    <t>pvmp02</t>
    <phoneticPr fontId="9" type="noConversion"/>
  </si>
  <si>
    <t>ens_srv : 10.200.102.142
ens_mgt : 10.254.112.142
ens_bak : 10.200.122.142
ens_nfs : 10.200.132.142</t>
    <phoneticPr fontId="9" type="noConversion"/>
  </si>
  <si>
    <t>pvmp03</t>
    <phoneticPr fontId="9" type="noConversion"/>
  </si>
  <si>
    <t>ens_srv : 10.200.102.143
ens_mgt : 10.254.112.143
ens_bak : 10.200.122.143
ens_nfs : 10.200.132.143</t>
    <phoneticPr fontId="9" type="noConversion"/>
  </si>
  <si>
    <t>pvsp01</t>
    <phoneticPr fontId="9" type="noConversion"/>
  </si>
  <si>
    <t>資料同步主機(參考10.81.102.91)</t>
    <phoneticPr fontId="9" type="noConversion"/>
  </si>
  <si>
    <t>ens_srv : 10.200.102.151
ens_mgt : 10.254.112.151
ens_bak : 10.200.122.151
ens_nfs : 10.200.132.151</t>
    <phoneticPr fontId="9" type="noConversion"/>
  </si>
  <si>
    <t>pvsp02</t>
    <phoneticPr fontId="9" type="noConversion"/>
  </si>
  <si>
    <t>聚合作業主機(參考10.81.102.91)</t>
    <phoneticPr fontId="9" type="noConversion"/>
  </si>
  <si>
    <t>ens_srv : 10.200.102.152
ens_mgt : 10.254.112.152
ens_bak : 10.200.122.152
ens_nfs : 10.200.132.152</t>
    <phoneticPr fontId="9" type="noConversion"/>
  </si>
  <si>
    <t>pvds01</t>
    <phoneticPr fontId="9" type="noConversion"/>
  </si>
  <si>
    <t>發票傳輸批次主機(參考10.81.102.51)</t>
    <phoneticPr fontId="9" type="noConversion"/>
  </si>
  <si>
    <t>ens_srv : 10.200.102.161
ens_mgt : 10.254.112.161
ens_bak : 10.200.122.161
ens_nfs : 10.200.132.161</t>
    <phoneticPr fontId="9" type="noConversion"/>
  </si>
  <si>
    <t>pvds02</t>
    <phoneticPr fontId="9" type="noConversion"/>
  </si>
  <si>
    <t>ens_srv : 10.200.102.162
ens_mgt : 10.254.112.162
ens_bak : 10.200.122.162
ens_nfs : 10.200.132.162</t>
    <phoneticPr fontId="9" type="noConversion"/>
  </si>
  <si>
    <t>pvgw01</t>
    <phoneticPr fontId="9" type="noConversion"/>
  </si>
  <si>
    <t>ens_srv : 10.200.102.167
ens_mgt : 10.254.112.167
ens_bak : 10.200.122.167
ens_nfs : 10.200.132.167</t>
    <phoneticPr fontId="9" type="noConversion"/>
  </si>
  <si>
    <t>pvgw02</t>
    <phoneticPr fontId="9" type="noConversion"/>
  </si>
  <si>
    <t>ens_srv : 10.200.102.168
ens_mgt : 10.254.112.168
ens_bak : 10.200.122.168
ens_nfs : 10.200.132.168</t>
    <phoneticPr fontId="9" type="noConversion"/>
  </si>
  <si>
    <t>pvdb1a</t>
    <phoneticPr fontId="9" type="noConversion"/>
  </si>
  <si>
    <t>VCOMM
(VCOMM)
驗測共用資料庫</t>
    <phoneticPr fontId="9" type="noConversion"/>
  </si>
  <si>
    <t>ens_srv : 10.200.105.11
ens_mgt : 10.254.115.11
ens_bak : 10.200.125.11
ens_nfs : 10.200.135.11</t>
    <phoneticPr fontId="9" type="noConversion"/>
  </si>
  <si>
    <t>Oracle Database</t>
  </si>
  <si>
    <t>pvdb2a</t>
    <phoneticPr fontId="9" type="noConversion"/>
  </si>
  <si>
    <t>VEINV
(VEINV)
驗測發票日誌資料庫</t>
    <phoneticPr fontId="9" type="noConversion"/>
  </si>
  <si>
    <t>ens_srv : 10.200.105.21
ens_mgt : 10.254.115.21
ens_bak : 10.200.125.21
ens_nfs : 10.200.135.21</t>
    <phoneticPr fontId="9" type="noConversion"/>
  </si>
  <si>
    <t>pvdb3a</t>
    <phoneticPr fontId="9" type="noConversion"/>
  </si>
  <si>
    <t>VINVNO
(VINVNO)
驗測發票號碼資料庫</t>
    <phoneticPr fontId="9" type="noConversion"/>
  </si>
  <si>
    <t>ens_srv : 10.200.105.31
ens_mgt : 10.254.115.31
ens_bak : 10.200.125.31
ens_nfs : 10.200.135.31</t>
    <phoneticPr fontId="9" type="noConversion"/>
  </si>
  <si>
    <t>pvdb4a</t>
    <phoneticPr fontId="9" type="noConversion"/>
  </si>
  <si>
    <t>VBAN
(VBAN)
驗測發票統編資料庫</t>
    <phoneticPr fontId="9" type="noConversion"/>
  </si>
  <si>
    <t>ens_srv : 10.200.105.41
ens_mgt : 10.254.115.41
ens_bak : 10.200.125.41
ens_nfs : 10.200.135.41</t>
    <phoneticPr fontId="9" type="noConversion"/>
  </si>
  <si>
    <t>pvdb5a</t>
    <phoneticPr fontId="9" type="noConversion"/>
  </si>
  <si>
    <t>VCARR
(VCARR)
驗測發票載具資料庫</t>
    <phoneticPr fontId="9" type="noConversion"/>
  </si>
  <si>
    <t>ens_srv : 10.200.105.51
ens_mgt : 10.254.115.51
ens_bak : 10.200.125.51
ens_nfs : 10.200.135.51</t>
    <phoneticPr fontId="9" type="noConversion"/>
  </si>
  <si>
    <t>pvdb6a</t>
    <phoneticPr fontId="9" type="noConversion"/>
  </si>
  <si>
    <t>VDW
(VDW)
驗測報表資料庫</t>
    <phoneticPr fontId="9" type="noConversion"/>
  </si>
  <si>
    <t>ens_srv : 10.200.105.61
ens_mgt : 10.254.115.61
ens_bak : 10.200.125.61
ens_nfs : 10.200.135.61</t>
    <phoneticPr fontId="9" type="noConversion"/>
  </si>
  <si>
    <t>pvdb8a</t>
    <phoneticPr fontId="9" type="noConversion"/>
  </si>
  <si>
    <t>VAW
(VAW)
驗測開獎、兌領獎資料庫</t>
    <phoneticPr fontId="9" type="noConversion"/>
  </si>
  <si>
    <t>ens_srv : 10.200.105.81
ens_mgt : 10.254.115.81
ens_bak : 10.200.125.81
ens_nfs : 10.200.135.81</t>
    <phoneticPr fontId="9" type="noConversion"/>
  </si>
  <si>
    <t>pvdb10a</t>
    <phoneticPr fontId="9" type="noConversion"/>
  </si>
  <si>
    <t>IAGDB+SFTP
(GADATA、IAGDB)
驗測APIOG、發票上傳SFTP資料庫</t>
    <phoneticPr fontId="9" type="noConversion"/>
  </si>
  <si>
    <t>ens_srv : 10.200.105.101
ens_mgt : 10.254.115.101
ens_bak : 10.200.125.101
ens_nfs : 10.200.135.101</t>
    <phoneticPr fontId="9" type="noConversion"/>
  </si>
  <si>
    <t>PostgreSQL</t>
  </si>
  <si>
    <t>dpftp01</t>
    <phoneticPr fontId="9" type="noConversion"/>
  </si>
  <si>
    <t>ens_srv : 10.201.1.41
ens_mgt : 10.252.11.41
ens_bak : 10.201.21.41
ens_nfs : 10.201.31.41</t>
    <phoneticPr fontId="9" type="noConversion"/>
  </si>
  <si>
    <t>dpftp02</t>
    <phoneticPr fontId="9" type="noConversion"/>
  </si>
  <si>
    <t>ens_srv : 10.201.1.42
ens_mgt : 10.252.11.42
ens_bak : 10.201.21.42
ens_nfs : 10.201.31.42</t>
    <phoneticPr fontId="9" type="noConversion"/>
  </si>
  <si>
    <t>dpftp03</t>
    <phoneticPr fontId="9" type="noConversion"/>
  </si>
  <si>
    <t>ens_srv : 10.201.1.43
ens_mgt : 10.252.11.43
ens_bak : 10.201.21.43
ens_nfs : 10.201.31.43</t>
    <phoneticPr fontId="9" type="noConversion"/>
  </si>
  <si>
    <t>dpftp04</t>
    <phoneticPr fontId="9" type="noConversion"/>
  </si>
  <si>
    <t>ens_srv : 10.201.1.44
ens_mgt : 10.252.11.44
ens_bak : 10.201.21.44
ens_nfs : 10.201.31.44</t>
    <phoneticPr fontId="9" type="noConversion"/>
  </si>
  <si>
    <t>dpweb01</t>
    <phoneticPr fontId="9" type="noConversion"/>
  </si>
  <si>
    <t>ens_srv : 10.201.1.31
ens_mgt : 10.252.11.31
ens_bak : 10.201.21.31
ens_nfs : 10.201.31.31</t>
    <phoneticPr fontId="9" type="noConversion"/>
  </si>
  <si>
    <t>dpweb02</t>
    <phoneticPr fontId="9" type="noConversion"/>
  </si>
  <si>
    <t>ens_srv : 10.201.1.32
ens_mgt : 10.252.11.32
ens_bak : 10.201.21.32
ens_nfs : 10.201.31.32</t>
    <phoneticPr fontId="9" type="noConversion"/>
  </si>
  <si>
    <t>dpweb03</t>
    <phoneticPr fontId="9" type="noConversion"/>
  </si>
  <si>
    <t>運作對內WEB服務</t>
    <phoneticPr fontId="9" type="noConversion"/>
  </si>
  <si>
    <t>ens_srv : 10.201.1.33
ens_mgt : 10.252.11.33
ens_bak : 10.201.21.33
ens_nfs : 10.201.31.33</t>
    <phoneticPr fontId="9" type="noConversion"/>
  </si>
  <si>
    <t>dpweb04</t>
    <phoneticPr fontId="9" type="noConversion"/>
  </si>
  <si>
    <t>ens_srv : 10.201.1.34
ens_mgt : 10.252.11.34
ens_bak : 10.201.21.34
ens_nfs : 10.201.31.34</t>
    <phoneticPr fontId="9" type="noConversion"/>
  </si>
  <si>
    <t>dpedir01</t>
    <phoneticPr fontId="9" type="noConversion"/>
  </si>
  <si>
    <t>ens_srv : 10.201.1.51
ens_mgt : 10.252.11.51
ens_bak : 10.201.21.51
ens_nfs : 10.201.31.51</t>
    <phoneticPr fontId="9" type="noConversion"/>
  </si>
  <si>
    <t>dpedirsync01</t>
    <phoneticPr fontId="9" type="noConversion"/>
  </si>
  <si>
    <t>ens_srv : 10.201.1.52
ens_mgt : 10.252.11.52
ens_bak : 10.201.21.52
ens_nfs : 10.201.31.52</t>
    <phoneticPr fontId="9" type="noConversion"/>
  </si>
  <si>
    <t>dpreg01</t>
    <phoneticPr fontId="9" type="noConversion"/>
  </si>
  <si>
    <t>(台中正式環境) Mirror Registry [OCP離線安裝]</t>
    <phoneticPr fontId="9" type="noConversion"/>
  </si>
  <si>
    <t>ens_srv : 10.201.2.10
ens_mgt : 10.252.12.10
ens_bak : 10.201.22.10
ens_nfs : 10.201.32.10</t>
    <phoneticPr fontId="9" type="noConversion"/>
  </si>
  <si>
    <t>dpbap11</t>
    <phoneticPr fontId="9" type="noConversion"/>
  </si>
  <si>
    <t>ens_srv : 10.201.2.11
ens_mgt : 10.252.12.11
ens_bak : 10.201.22.11
ens_nfs : 10.201.32.11</t>
    <phoneticPr fontId="9" type="noConversion"/>
  </si>
  <si>
    <t>dpbap21</t>
    <phoneticPr fontId="9" type="noConversion"/>
  </si>
  <si>
    <t>ens_srv : 10.201.2.31
ens_mgt : 10.252.12.31
ens_bak : 10.201.22.31
ens_nfs : 10.201.32.31</t>
    <phoneticPr fontId="9" type="noConversion"/>
  </si>
  <si>
    <t>dpbap31</t>
    <phoneticPr fontId="9" type="noConversion"/>
  </si>
  <si>
    <t>ens_srv : 10.201.2.51
ens_mgt : 10.252.12.51
ens_bak : 10.201.22.51
ens_nfs : 10.201.32.51</t>
    <phoneticPr fontId="9" type="noConversion"/>
  </si>
  <si>
    <t>dpbap41</t>
    <phoneticPr fontId="9" type="noConversion"/>
  </si>
  <si>
    <t>OCP第4套</t>
    <phoneticPr fontId="9" type="noConversion"/>
  </si>
  <si>
    <t>(Cluster04) Bastion</t>
    <phoneticPr fontId="9" type="noConversion"/>
  </si>
  <si>
    <t>ens_srv : 10.201.2.71
ens_mgt : 10.252.12.71
ens_bak : 10.201.22.71
ens_nfs : 10.201.32.71</t>
    <phoneticPr fontId="9" type="noConversion"/>
  </si>
  <si>
    <t>dpap01</t>
    <phoneticPr fontId="9" type="noConversion"/>
  </si>
  <si>
    <t>ens_srv : 10.201.2.91
ens_mgt : 10.252.12.91
ens_bak : 10.201.22.91
ens_nfs : 10.201.32.91</t>
    <phoneticPr fontId="9" type="noConversion"/>
  </si>
  <si>
    <t>dpap02</t>
    <phoneticPr fontId="9" type="noConversion"/>
  </si>
  <si>
    <t>ens_srv : 10.201.2.92
ens_mgt : 10.252.12.92
ens_bak : 10.201.22.92
ens_nfs : 10.201.32.92</t>
    <phoneticPr fontId="9" type="noConversion"/>
  </si>
  <si>
    <t>dpap03</t>
    <phoneticPr fontId="9" type="noConversion"/>
  </si>
  <si>
    <t>ens_srv : 10.201.2.93
ens_mgt : 10.252.12.93
ens_bak : 10.201.22.93
ens_nfs : 10.201.32.93</t>
    <phoneticPr fontId="9" type="noConversion"/>
  </si>
  <si>
    <t>dpap04</t>
    <phoneticPr fontId="9" type="noConversion"/>
  </si>
  <si>
    <t>ens_srv : 10.201.2.94
ens_mgt : 10.252.12.94
ens_bak : 10.201.22.94
ens_nfs : 10.201.32.94</t>
    <phoneticPr fontId="9" type="noConversion"/>
  </si>
  <si>
    <t>dpap05</t>
    <phoneticPr fontId="9" type="noConversion"/>
  </si>
  <si>
    <t>ens_srv : 10.201.2.95
ens_mgt : 10.252.12.95
ens_bak : 10.201.22.95
ens_nfs : 10.201.32.95</t>
    <phoneticPr fontId="9" type="noConversion"/>
  </si>
  <si>
    <t>dpap06</t>
    <phoneticPr fontId="9" type="noConversion"/>
  </si>
  <si>
    <t>ens_srv : 10.201.2.96
ens_mgt : 10.252.12.96
ens_bak : 10.201.22.96
ens_nfs : 10.201.32.96</t>
    <phoneticPr fontId="9" type="noConversion"/>
  </si>
  <si>
    <t>dpkfk01</t>
    <phoneticPr fontId="9" type="noConversion"/>
  </si>
  <si>
    <t>ens_srv : 10.201.2.101
ens_mgt : 10.252.12.101
ens_bak : 10.201.22.101
ens_nfs : 10.201.32.101</t>
    <phoneticPr fontId="9" type="noConversion"/>
  </si>
  <si>
    <t>10.252.12.108 : ens_srv</t>
  </si>
  <si>
    <t>dpkfk02</t>
    <phoneticPr fontId="9" type="noConversion"/>
  </si>
  <si>
    <t>ens_srv : 10.201.2.102
ens_mgt : 10.252.12.102
ens_bak : 10.201.22.102
ens_nfs : 10.201.32.102</t>
    <phoneticPr fontId="9" type="noConversion"/>
  </si>
  <si>
    <t>dpkfk03</t>
    <phoneticPr fontId="9" type="noConversion"/>
  </si>
  <si>
    <t>ens_srv : 10.201.2.103
ens_mgt : 10.252.12.103
ens_bak : 10.201.22.103
ens_nfs : 10.201.32.103</t>
    <phoneticPr fontId="9" type="noConversion"/>
  </si>
  <si>
    <t>dpkfk04</t>
    <phoneticPr fontId="9" type="noConversion"/>
  </si>
  <si>
    <t>ens_srv : 10.201.2.104
ens_mgt : 10.252.12.104
ens_bak : 10.201.22.104
ens_nfs : 10.201.32.104</t>
    <phoneticPr fontId="9" type="noConversion"/>
  </si>
  <si>
    <t>dpkfk05</t>
    <phoneticPr fontId="9" type="noConversion"/>
  </si>
  <si>
    <t>ens_srv : 10.201.2.105
ens_mgt : 10.252.12.105
ens_bak : 10.201.22.105
ens_nfs : 10.201.32.105</t>
    <phoneticPr fontId="9" type="noConversion"/>
  </si>
  <si>
    <t>dpcicd01</t>
    <phoneticPr fontId="9" type="noConversion"/>
  </si>
  <si>
    <t>ens_srv : 10.201.2.109
ens_mgt : 10.252.12.109
ens_bak : 10.201.22.109
ens_nfs : 10.201.32.109</t>
    <phoneticPr fontId="9" type="noConversion"/>
  </si>
  <si>
    <t>dpbg01</t>
    <phoneticPr fontId="9" type="noConversion"/>
  </si>
  <si>
    <t>ens_srv : 10.201.2.111
ens_mgt : 10.252.12.111
ens_bak : 10.201.22.111
ens_nfs : 10.201.32.111</t>
    <phoneticPr fontId="9" type="noConversion"/>
  </si>
  <si>
    <t>dpbg02</t>
    <phoneticPr fontId="9" type="noConversion"/>
  </si>
  <si>
    <t>ens_srv : 10.201.2.112
ens_mgt : 10.252.12.112
ens_bak : 10.201.22.112
ens_nfs : 10.201.32.112</t>
    <phoneticPr fontId="9" type="noConversion"/>
  </si>
  <si>
    <t>dpbg03</t>
    <phoneticPr fontId="9" type="noConversion"/>
  </si>
  <si>
    <t>ens_srv : 10.201.2.113
ens_mgt : 10.252.12.113
ens_bak : 10.201.22.113
ens_nfs : 10.201.32.113</t>
    <phoneticPr fontId="9" type="noConversion"/>
  </si>
  <si>
    <t>dpbg04</t>
    <phoneticPr fontId="9" type="noConversion"/>
  </si>
  <si>
    <t>ens_srv : 10.201.2.114
ens_mgt : 10.252.12.114
ens_bak : 10.201.22.114
ens_nfs : 10.201.32.114</t>
    <phoneticPr fontId="9" type="noConversion"/>
  </si>
  <si>
    <t>dpbg05</t>
    <phoneticPr fontId="9" type="noConversion"/>
  </si>
  <si>
    <t>ens_srv : 10.201.2.115
ens_mgt : 10.252.12.115
ens_bak : 10.201.22.115
ens_nfs : 10.201.32.115</t>
    <phoneticPr fontId="9" type="noConversion"/>
  </si>
  <si>
    <t>dpbg06</t>
    <phoneticPr fontId="9" type="noConversion"/>
  </si>
  <si>
    <t>ens_srv : 10.201.2.116
ens_mgt : 10.252.12.116
ens_bak : 10.201.22.116
ens_nfs : 10.201.32.116</t>
    <phoneticPr fontId="9" type="noConversion"/>
  </si>
  <si>
    <t>dpkms01</t>
    <phoneticPr fontId="9" type="noConversion"/>
  </si>
  <si>
    <t>ens_srv : 10.201.2.121
ens_mgt : 10.252.12.121
ens_bak : 10.201.22.121
ens_nfs : 10.201.32.121</t>
    <phoneticPr fontId="9" type="noConversion"/>
  </si>
  <si>
    <t>dpkms02</t>
    <phoneticPr fontId="9" type="noConversion"/>
  </si>
  <si>
    <t>ens_srv : 10.201.2.122
ens_mgt : 10.252.12.122
ens_bak : 10.201.22.122
ens_nfs : 10.201.32.122</t>
    <phoneticPr fontId="9" type="noConversion"/>
  </si>
  <si>
    <t>dpredis01</t>
    <phoneticPr fontId="9" type="noConversion"/>
  </si>
  <si>
    <t>ens_srv : 10.201.2.125
ens_mgt : 10.252.12.125
ens_bak : 10.201.22.125
ens_nfs : 10.201.32.125</t>
    <phoneticPr fontId="9" type="noConversion"/>
  </si>
  <si>
    <t>dpredis02</t>
    <phoneticPr fontId="9" type="noConversion"/>
  </si>
  <si>
    <t>ens_srv : 10.201.2.126
ens_mgt : 10.252.12.126
ens_bak : 10.201.22.126
ens_nfs : 10.201.32.126</t>
    <phoneticPr fontId="9" type="noConversion"/>
  </si>
  <si>
    <t>dpredis03</t>
    <phoneticPr fontId="9" type="noConversion"/>
  </si>
  <si>
    <t>ens_srv : 10.201.2.127
ens_mgt : 10.252.12.127
ens_bak : 10.201.22.127
ens_nfs : 10.201.32.127</t>
    <phoneticPr fontId="9" type="noConversion"/>
  </si>
  <si>
    <t>dpredis04</t>
    <phoneticPr fontId="9" type="noConversion"/>
  </si>
  <si>
    <t>ens_srv : 10.201.2.128
ens_mgt : 10.252.12.128
ens_bak : 10.201.22.128
ens_nfs : 10.201.32.128</t>
    <phoneticPr fontId="9" type="noConversion"/>
  </si>
  <si>
    <t>dpredis05</t>
    <phoneticPr fontId="9" type="noConversion"/>
  </si>
  <si>
    <t>ens_srv : 10.201.2.129
ens_mgt : 10.252.12.129
ens_bak : 10.201.22.129
ens_nfs : 10.201.32.129</t>
    <phoneticPr fontId="9" type="noConversion"/>
  </si>
  <si>
    <t>dpredis06</t>
    <phoneticPr fontId="9" type="noConversion"/>
  </si>
  <si>
    <t>ens_srv : 10.201.2.130
ens_mgt : 10.252.12.130
ens_bak : 10.201.22.130
ens_nfs : 10.201.32.130</t>
    <phoneticPr fontId="9" type="noConversion"/>
  </si>
  <si>
    <t>dpva01</t>
    <phoneticPr fontId="9" type="noConversion"/>
  </si>
  <si>
    <t>ens_srv : 10.201.2.131
ens_mgt : 10.252.12.131
ens_bak : 10.201.22.131
ens_nfs : 10.201.32.131</t>
    <phoneticPr fontId="9" type="noConversion"/>
  </si>
  <si>
    <t>dpva02</t>
    <phoneticPr fontId="9" type="noConversion"/>
  </si>
  <si>
    <t>ens_srv : 10.201.2.132
ens_mgt : 10.252.12.132
ens_bak : 10.201.22.132
ens_nfs : 10.201.32.132</t>
    <phoneticPr fontId="9" type="noConversion"/>
  </si>
  <si>
    <t>dpva03</t>
    <phoneticPr fontId="9" type="noConversion"/>
  </si>
  <si>
    <t>ens_srv : 10.201.2.133
ens_mgt : 10.252.12.133
ens_bak : 10.201.22.133
ens_nfs : 10.201.32.133</t>
    <phoneticPr fontId="9" type="noConversion"/>
  </si>
  <si>
    <t>dpva04</t>
    <phoneticPr fontId="9" type="noConversion"/>
  </si>
  <si>
    <t>ens_srv : 10.201.2.134
ens_mgt : 10.252.12.134
ens_bak : 10.201.22.134
ens_nfs : 10.201.32.134</t>
    <phoneticPr fontId="9" type="noConversion"/>
  </si>
  <si>
    <t>dpva05</t>
    <phoneticPr fontId="9" type="noConversion"/>
  </si>
  <si>
    <t>ens_srv : 10.201.2.135
ens_mgt : 10.252.12.135
ens_bak : 10.201.22.135
ens_nfs : 10.201.32.135</t>
    <phoneticPr fontId="9" type="noConversion"/>
  </si>
  <si>
    <t>dpva06</t>
    <phoneticPr fontId="9" type="noConversion"/>
  </si>
  <si>
    <t>ens_srv : 10.201.2.136
ens_mgt : 10.252.12.136
ens_bak : 10.201.22.136
ens_nfs : 10.201.32.136</t>
    <phoneticPr fontId="9" type="noConversion"/>
  </si>
  <si>
    <t>dpva07</t>
    <phoneticPr fontId="9" type="noConversion"/>
  </si>
  <si>
    <t>ens_srv : 10.201.2.137
ens_mgt : 10.252.12.137
ens_bak : 10.201.22.137
ens_nfs : 10.201.32.137</t>
    <phoneticPr fontId="9" type="noConversion"/>
  </si>
  <si>
    <t>dpva08</t>
    <phoneticPr fontId="9" type="noConversion"/>
  </si>
  <si>
    <t>ens_srv : 10.201.2.138
ens_mgt : 10.252.12.138
ens_bak : 10.201.22.138
ens_nfs : 10.201.32.138</t>
    <phoneticPr fontId="9" type="noConversion"/>
  </si>
  <si>
    <t>dpmp01</t>
    <phoneticPr fontId="9" type="noConversion"/>
  </si>
  <si>
    <t>ens_srv : 10.201.2.141
ens_mgt : 10.252.12.141
ens_bak : 10.201.22.141
ens_nfs : 10.201.32.141</t>
    <phoneticPr fontId="9" type="noConversion"/>
  </si>
  <si>
    <t>dpmp02</t>
    <phoneticPr fontId="9" type="noConversion"/>
  </si>
  <si>
    <t>ens_srv : 10.201.2.142
ens_mgt : 10.252.12.142
ens_bak : 10.201.22.142
ens_nfs : 10.201.32.142</t>
    <phoneticPr fontId="9" type="noConversion"/>
  </si>
  <si>
    <t>dpmp03</t>
    <phoneticPr fontId="9" type="noConversion"/>
  </si>
  <si>
    <t>ens_srv : 10.201.2.143
ens_mgt : 10.252.12.143
ens_bak : 10.201.22.143
ens_nfs : 10.201.32.143</t>
    <phoneticPr fontId="9" type="noConversion"/>
  </si>
  <si>
    <t>dpmp04</t>
    <phoneticPr fontId="9" type="noConversion"/>
  </si>
  <si>
    <t>ens_srv : 10.201.2.144
ens_mgt : 10.252.12.144
ens_bak : 10.201.22.144
ens_nfs : 10.201.32.144</t>
    <phoneticPr fontId="9" type="noConversion"/>
  </si>
  <si>
    <t>dpmp05</t>
    <phoneticPr fontId="9" type="noConversion"/>
  </si>
  <si>
    <t>ens_srv : 10.201.2.145
ens_mgt : 10.252.12.145
ens_bak : 10.201.22.145
ens_nfs : 10.201.32.145</t>
    <phoneticPr fontId="9" type="noConversion"/>
  </si>
  <si>
    <t>dpmp06</t>
    <phoneticPr fontId="9" type="noConversion"/>
  </si>
  <si>
    <t>ens_srv : 10.201.2.146
ens_mgt : 10.252.12.146
ens_bak : 10.201.22.146
ens_nfs : 10.201.32.146</t>
    <phoneticPr fontId="9" type="noConversion"/>
  </si>
  <si>
    <t>dpmp07</t>
    <phoneticPr fontId="9" type="noConversion"/>
  </si>
  <si>
    <t>ens_srv : 10.201.2.147
ens_mgt : 10.252.12.147
ens_bak : 10.201.22.147
ens_nfs : 10.201.32.147</t>
    <phoneticPr fontId="9" type="noConversion"/>
  </si>
  <si>
    <t>dpmp08</t>
    <phoneticPr fontId="9" type="noConversion"/>
  </si>
  <si>
    <t>ens_srv : 10.201.2.148
ens_mgt : 10.252.12.148
ens_bak : 10.201.22.148
ens_nfs : 10.201.32.148</t>
    <phoneticPr fontId="9" type="noConversion"/>
  </si>
  <si>
    <t>dpmp09</t>
    <phoneticPr fontId="9" type="noConversion"/>
  </si>
  <si>
    <t>ens_srv : 10.201.2.149
ens_mgt : 10.252.12.149
ens_bak : 10.201.22.149
ens_nfs : 10.201.32.149</t>
    <phoneticPr fontId="9" type="noConversion"/>
  </si>
  <si>
    <t>dpmp10</t>
    <phoneticPr fontId="9" type="noConversion"/>
  </si>
  <si>
    <t>ens_srv : 10.201.2.150
ens_mgt : 10.252.12.150
ens_bak : 10.201.22.150
ens_nfs : 10.201.32.150</t>
    <phoneticPr fontId="9" type="noConversion"/>
  </si>
  <si>
    <t>dpsp01</t>
    <phoneticPr fontId="9" type="noConversion"/>
  </si>
  <si>
    <t>ens_srv : 10.201.2.151
ens_mgt : 10.252.12.151
ens_bak : 10.201.22.151
ens_nfs : 10.201.32.151</t>
    <phoneticPr fontId="9" type="noConversion"/>
  </si>
  <si>
    <t>dpsp02</t>
    <phoneticPr fontId="9" type="noConversion"/>
  </si>
  <si>
    <t>ens_srv : 10.201.2.152
ens_mgt : 10.252.12.152
ens_bak : 10.201.22.152
ens_nfs : 10.201.32.152</t>
    <phoneticPr fontId="9" type="noConversion"/>
  </si>
  <si>
    <t>dpsp03</t>
    <phoneticPr fontId="9" type="noConversion"/>
  </si>
  <si>
    <t>ens_srv : 10.201.2.153
ens_mgt : 10.252.12.153
ens_bak : 10.201.22.153
ens_nfs : 10.201.32.153</t>
    <phoneticPr fontId="9" type="noConversion"/>
  </si>
  <si>
    <t>dpsp04</t>
    <phoneticPr fontId="9" type="noConversion"/>
  </si>
  <si>
    <t>ens_srv : 10.201.2.154
ens_mgt : 10.252.12.154
ens_bak : 10.201.22.154
ens_nfs : 10.201.32.154</t>
    <phoneticPr fontId="9" type="noConversion"/>
  </si>
  <si>
    <t>dpsp05</t>
    <phoneticPr fontId="9" type="noConversion"/>
  </si>
  <si>
    <t>ens_srv : 10.201.2.155
ens_mgt : 10.252.12.155
ens_bak : 10.201.22.155
ens_nfs : 10.201.32.155</t>
    <phoneticPr fontId="9" type="noConversion"/>
  </si>
  <si>
    <t>dpsp06</t>
    <phoneticPr fontId="9" type="noConversion"/>
  </si>
  <si>
    <t>ens_srv : 10.201.2.156
ens_mgt : 10.252.12.156
ens_bak : 10.201.22.156
ens_nfs : 10.201.32.156</t>
    <phoneticPr fontId="9" type="noConversion"/>
  </si>
  <si>
    <t>dpds01</t>
    <phoneticPr fontId="9" type="noConversion"/>
  </si>
  <si>
    <t>ens_srv : 10.201.2.161
ens_mgt : 10.252.12.161
ens_bak : 10.201.22.161
ens_nfs : 10.201.32.161</t>
    <phoneticPr fontId="9" type="noConversion"/>
  </si>
  <si>
    <t>dpds02</t>
    <phoneticPr fontId="9" type="noConversion"/>
  </si>
  <si>
    <t>ens_srv : 10.201.2.162
ens_mgt : 10.252.12.162
ens_bak : 10.201.22.162
ens_nfs : 10.201.32.162</t>
    <phoneticPr fontId="9" type="noConversion"/>
  </si>
  <si>
    <t>dpds03</t>
    <phoneticPr fontId="9" type="noConversion"/>
  </si>
  <si>
    <t>ens_srv : 10.201.2.163
ens_mgt : 10.252.12.163
ens_bak : 10.201.22.163
ens_nfs : 10.201.32.163</t>
    <phoneticPr fontId="9" type="noConversion"/>
  </si>
  <si>
    <t>dpgw01</t>
    <phoneticPr fontId="9" type="noConversion"/>
  </si>
  <si>
    <t>ens_srv : 10.201.2.167
ens_mgt : 10.252.12.167
ens_bak : 10.201.22.167
ens_nfs : 10.201.32.167</t>
    <phoneticPr fontId="9" type="noConversion"/>
  </si>
  <si>
    <t>dpgw02</t>
    <phoneticPr fontId="9" type="noConversion"/>
  </si>
  <si>
    <t>ens_srv : 10.201.2.168
ens_mgt : 10.252.12.168
ens_bak : 10.201.22.168
ens_nfs : 10.201.32.168</t>
    <phoneticPr fontId="9" type="noConversion"/>
  </si>
  <si>
    <t>dplwgt01</t>
    <phoneticPr fontId="9" type="noConversion"/>
  </si>
  <si>
    <t>ens_srv : 10.201.2.171
ens_mgt : 10.252.12.171
ens_bak : 10.201.22.171
ens_nfs : 10.201.32.171</t>
    <phoneticPr fontId="9" type="noConversion"/>
  </si>
  <si>
    <t>dplwgt02</t>
    <phoneticPr fontId="9" type="noConversion"/>
  </si>
  <si>
    <t>ens_srv : 10.201.2.172
ens_mgt : 10.252.12.172
ens_bak : 10.201.22.172
ens_nfs : 10.201.32.172</t>
    <phoneticPr fontId="9" type="noConversion"/>
  </si>
  <si>
    <t>dplwgt03</t>
    <phoneticPr fontId="9" type="noConversion"/>
  </si>
  <si>
    <t>ens_srv : 10.201.2.173
ens_mgt : 10.252.12.173
ens_bak : 10.201.22.173
ens_nfs : 10.201.32.173</t>
    <phoneticPr fontId="9" type="noConversion"/>
  </si>
  <si>
    <t>dpdb8a</t>
    <phoneticPr fontId="9" type="noConversion"/>
  </si>
  <si>
    <t>(PAW)
異地備援中獎清冊資料庫</t>
    <phoneticPr fontId="9" type="noConversion"/>
  </si>
  <si>
    <t>ens_srv : 10.201.5.81
ens_mgt : 10.252.15.81
ens_bak : 10.201.25.81
ens_nfs : 10.201.35.81
ens_mir : 10.201.58.8</t>
    <phoneticPr fontId="9" type="noConversion"/>
  </si>
  <si>
    <t>dpdb9a</t>
    <phoneticPr fontId="9" type="noConversion"/>
  </si>
  <si>
    <t>(POPAW)
異地備援開獎資料庫</t>
    <phoneticPr fontId="9" type="noConversion"/>
  </si>
  <si>
    <t>ens_srv : 10.201.5.91
ens_mgt : 10.252.15.91
ens_bak : 10.201.25.91
ens_nfs : 10.201.35.91
ens_mir : 10.201.58.91</t>
    <phoneticPr fontId="9" type="noConversion"/>
  </si>
  <si>
    <t>dpdb10a</t>
    <phoneticPr fontId="9" type="noConversion"/>
  </si>
  <si>
    <t>RH8.4_Postgres_20220406</t>
    <phoneticPr fontId="9" type="noConversion"/>
  </si>
  <si>
    <t>(GADATA)
異地備援發票上傳SFTP資料庫</t>
    <phoneticPr fontId="9" type="noConversion"/>
  </si>
  <si>
    <t>ens_srv : 10.201.5.101
ens_mgt : 10.252.15.101
ens_bak : 10.201.25.101
ens_nfs : 10.201.35.101
ens_mir : 10.201.58.101</t>
    <phoneticPr fontId="9" type="noConversion"/>
  </si>
  <si>
    <t>dpdb11a</t>
    <phoneticPr fontId="9" type="noConversion"/>
  </si>
  <si>
    <t>(IAGDB)
異地備援API日誌資料庫</t>
    <phoneticPr fontId="9" type="noConversion"/>
  </si>
  <si>
    <t>ens_srv : 10.201.5.111
ens_mgt : 10.252.15.111
ens_bak : 10.201.25.111
ens_nfs : 10.201.35.111
ens_mir : 10.201.58.111</t>
    <phoneticPr fontId="9" type="noConversion"/>
  </si>
  <si>
    <t>dpdb4a</t>
    <phoneticPr fontId="9" type="noConversion"/>
  </si>
  <si>
    <t>PBAN
(PBAN)
異地備援發票統編資料庫
FROM PB2C</t>
    <phoneticPr fontId="9" type="noConversion"/>
  </si>
  <si>
    <t>ens_srv：10.201.5.41
ens_mgt：10.252.15.41
ens_bak：10.201.25.41
ens_nfs：10.201.35.41
ens_int：10.252.19.41
ens_mir：10.201.58.41</t>
    <phoneticPr fontId="9" type="noConversion"/>
  </si>
  <si>
    <t>dpdb3a</t>
    <phoneticPr fontId="9" type="noConversion"/>
  </si>
  <si>
    <t>PHIST
(PHIST)
備援歷史資料庫
FROM PB2C_HIST</t>
    <phoneticPr fontId="9" type="noConversion"/>
  </si>
  <si>
    <t>ens_srv：10.201.5.31
ens_mgt：10.252.15.31
ens_bak：10.201.25.31
ens_nfs：10.201.35.31
ens_mir：10.201.58.31</t>
    <phoneticPr fontId="9" type="noConversion"/>
  </si>
  <si>
    <t>dpdb1a</t>
    <phoneticPr fontId="9" type="noConversion"/>
  </si>
  <si>
    <t>PCOMM
(PCOMM)
異地備援共用資料庫
FROM PCOMM</t>
    <phoneticPr fontId="9" type="noConversion"/>
  </si>
  <si>
    <t>ens_srv：10.201.5.11
ens_mgt：10.252.15.11
ens_bak：10.201.25.11
ens_nfs：10.201.35.11
ens_int：10.252.19.11
ens_mir：10.201.58.11</t>
    <phoneticPr fontId="9" type="noConversion"/>
  </si>
  <si>
    <t>dpdb5a</t>
    <phoneticPr fontId="9" type="noConversion"/>
  </si>
  <si>
    <t>PCARR
(PCARR)
異地備援發票載具資料庫
FROM PB2C</t>
    <phoneticPr fontId="9" type="noConversion"/>
  </si>
  <si>
    <t>ens_srv：10.201.5.51
ens_mgt：10.252.15.51
ens_bak：10.201.25.51
ens_nfs：10.201.35.51
ens_int：10.252.19.51
ens_mir：10.201.58.51</t>
    <phoneticPr fontId="9" type="noConversion"/>
  </si>
  <si>
    <t>dpdb2a</t>
    <phoneticPr fontId="9" type="noConversion"/>
  </si>
  <si>
    <t>PEINV
(PEINV)
異地備援發票日誌資料庫
FROM PEINV</t>
    <phoneticPr fontId="9" type="noConversion"/>
  </si>
  <si>
    <t>ens_srv：10.201.5.21
ens_mgt：10.252.15.21
ens_bak：10.201.25.21
ens_nfs：10.201.35.21
ens_int：10.252.19.21
ens_mir：10.201.58.21</t>
    <phoneticPr fontId="9" type="noConversion"/>
  </si>
  <si>
    <t>dprpt01</t>
    <phoneticPr fontId="9" type="noConversion"/>
  </si>
  <si>
    <t>ens_srv : 10.201.6.31
ens_mgt : 10.252.16.31
ens_bak : 10.201.26.31
ens_nfs : 10.201.36.31</t>
    <phoneticPr fontId="9" type="noConversion"/>
  </si>
  <si>
    <t>dpboot01</t>
    <phoneticPr fontId="9" type="noConversion"/>
  </si>
  <si>
    <t>ens_srv : 10.201.6.33
ens_mgt : 10.252.16.33
ens_bak : 10.201.26.33
ens_nfs : 10.201.36.33</t>
    <phoneticPr fontId="9" type="noConversion"/>
  </si>
  <si>
    <t>dpdns01</t>
    <phoneticPr fontId="9" type="noConversion"/>
  </si>
  <si>
    <t>ens_srv : 10.201.6.41
ens_mgt : 10.252.16.41
ens_bak : 10.201.26.41
ens_nfs : 10.201.36.41</t>
    <phoneticPr fontId="9" type="noConversion"/>
  </si>
  <si>
    <t>dpmon11
{名稱暫定，需確認}</t>
    <phoneticPr fontId="9" type="noConversion"/>
  </si>
  <si>
    <t>{依現場提供為主}</t>
    <phoneticPr fontId="9" type="noConversion"/>
  </si>
  <si>
    <t>南區國稅局</t>
    <phoneticPr fontId="9" type="noConversion"/>
  </si>
  <si>
    <t>於其環境內運行訂製腳本內容 (南中心)</t>
    <phoneticPr fontId="9" type="noConversion"/>
  </si>
  <si>
    <t>{依現場環境為主}</t>
    <phoneticPr fontId="9" type="noConversion"/>
  </si>
  <si>
    <t>BPM Monitor安裝於南區國稅局，不使用目前虛擬環境內資源。</t>
    <phoneticPr fontId="9" type="noConversion"/>
  </si>
  <si>
    <t>dpvc01</t>
    <phoneticPr fontId="9" type="noConversion"/>
  </si>
  <si>
    <t>vCenter : 7.0u3c</t>
    <phoneticPr fontId="9" type="noConversion"/>
  </si>
  <si>
    <t>10.252.10.9</t>
    <phoneticPr fontId="9" type="noConversion"/>
  </si>
  <si>
    <t>dpasb01</t>
    <phoneticPr fontId="9" type="noConversion"/>
  </si>
  <si>
    <t xml:space="preserve">Ansible : 2.9.27 </t>
    <phoneticPr fontId="9" type="noConversion"/>
  </si>
  <si>
    <t>ens_srv : 10.201.6.99
ens_mgt : 10.252.16.99
ens_bak : 10.201.26.99
ens_nfs : 10.201.36.99</t>
    <phoneticPr fontId="9" type="noConversion"/>
  </si>
  <si>
    <t>dpanch01</t>
    <phoneticPr fontId="9" type="noConversion"/>
  </si>
  <si>
    <t>ANCHOR DR節點</t>
    <phoneticPr fontId="9" type="noConversion"/>
  </si>
  <si>
    <t>10.252.1.151</t>
    <phoneticPr fontId="9" type="noConversion"/>
  </si>
  <si>
    <t>dpavdi01</t>
    <phoneticPr fontId="9" type="noConversion"/>
  </si>
  <si>
    <t>10.252.1.153</t>
    <phoneticPr fontId="9" type="noConversion"/>
  </si>
  <si>
    <t>dpfadc01</t>
    <phoneticPr fontId="9" type="noConversion"/>
  </si>
  <si>
    <t>10.252.2.61</t>
    <phoneticPr fontId="9" type="noConversion"/>
  </si>
  <si>
    <t>dpfsim01</t>
    <phoneticPr fontId="9" type="noConversion"/>
  </si>
  <si>
    <t>10.252.2.62</t>
    <phoneticPr fontId="9" type="noConversion"/>
  </si>
  <si>
    <t>dparc01</t>
    <phoneticPr fontId="9" type="noConversion"/>
  </si>
  <si>
    <t>10.252.2.66</t>
    <phoneticPr fontId="9" type="noConversion"/>
  </si>
  <si>
    <t>dparc00</t>
    <phoneticPr fontId="9" type="noConversion"/>
  </si>
  <si>
    <t>10.252.2.70</t>
    <phoneticPr fontId="9" type="noConversion"/>
  </si>
  <si>
    <t>dpdcs01</t>
    <phoneticPr fontId="9" type="noConversion"/>
  </si>
  <si>
    <t>Symantec Data Center Security: SA : 6.9.2
MSSQL Std Core : 2019</t>
    <phoneticPr fontId="9" type="noConversion"/>
  </si>
  <si>
    <t>10.252.2.71</t>
    <phoneticPr fontId="9" type="noConversion"/>
  </si>
  <si>
    <t>dpilm01</t>
    <phoneticPr fontId="9" type="noConversion"/>
  </si>
  <si>
    <t>ens_srv : 10.201.6.51
ens_mgt : 10.252.16.51
ens_bak : 10.201.26.51
ens_nfs : 10.201.36.51</t>
    <phoneticPr fontId="9" type="noConversion"/>
  </si>
  <si>
    <t>測試環境</t>
    <phoneticPr fontId="9" type="noConversion"/>
  </si>
  <si>
    <t>dtftp01</t>
    <phoneticPr fontId="9" type="noConversion"/>
  </si>
  <si>
    <t>ens_srv : 10.201.101.41
ens_bak : 10.201.121.41
ens_nfs : 10.201.131.41</t>
    <phoneticPr fontId="9" type="noConversion"/>
  </si>
  <si>
    <t>dtedir01</t>
    <phoneticPr fontId="9" type="noConversion"/>
  </si>
  <si>
    <t>ens_srv : 10.201.101.51
ens_bak : 10.201.121.51
ens_nfs : 10.201.131.51</t>
    <phoneticPr fontId="9" type="noConversion"/>
  </si>
  <si>
    <t>dtweb01</t>
    <phoneticPr fontId="9" type="noConversion"/>
  </si>
  <si>
    <t>ens_srv : 10.201.101.31
ens_bak : 10.201.121.31
ens_nfs : 10.201.131.31</t>
    <phoneticPr fontId="9" type="noConversion"/>
  </si>
  <si>
    <t>dtweb02</t>
    <phoneticPr fontId="9" type="noConversion"/>
  </si>
  <si>
    <t>ens_srv : 10.201.101.32
ens_bak : 10.201.121.32
ens_nfs : 10.201.131.32</t>
    <phoneticPr fontId="9" type="noConversion"/>
  </si>
  <si>
    <t>dtbap01</t>
    <phoneticPr fontId="9" type="noConversion"/>
  </si>
  <si>
    <t>ens_srv : 10.201.102.11
ens_bak : 10.201.122.11
ens_nfs : 10.201.132.11</t>
    <phoneticPr fontId="9" type="noConversion"/>
  </si>
  <si>
    <t>dtreg01</t>
    <phoneticPr fontId="9" type="noConversion"/>
  </si>
  <si>
    <t>(台中測試環境) Mirror Registry [OCP離線安裝]</t>
    <phoneticPr fontId="9" type="noConversion"/>
  </si>
  <si>
    <t>ens_srv : 10.201.102.10
ens_bak : 10.201.122.10
ens_nfs : 10.201.132.10</t>
    <phoneticPr fontId="9" type="noConversion"/>
  </si>
  <si>
    <t>dtap01</t>
    <phoneticPr fontId="9" type="noConversion"/>
  </si>
  <si>
    <t>ens_srv : 10.201.102.91
ens_bak : 10.201.122.91
ens_nfs : 10.201.132.91</t>
    <phoneticPr fontId="9" type="noConversion"/>
  </si>
  <si>
    <t>dtap02</t>
    <phoneticPr fontId="9" type="noConversion"/>
  </si>
  <si>
    <t>ens_srv : 10.201.102.92
ens_bak : 10.201.122.92
ens_nfs : 10.201.132.92</t>
    <phoneticPr fontId="9" type="noConversion"/>
  </si>
  <si>
    <t>dtap03</t>
    <phoneticPr fontId="9" type="noConversion"/>
  </si>
  <si>
    <t>ens_srv : 10.201.102.93
ens_bak : 10.201.122.93
ens_nfs : 10.201.132.93</t>
    <phoneticPr fontId="9" type="noConversion"/>
  </si>
  <si>
    <t>dtap04</t>
    <phoneticPr fontId="9" type="noConversion"/>
  </si>
  <si>
    <t>ens_srv : 10.201.102.94
ens_bak : 10.201.122.94
ens_nfs : 10.201.132.94</t>
    <phoneticPr fontId="9" type="noConversion"/>
  </si>
  <si>
    <t>dtkfk01</t>
    <phoneticPr fontId="9" type="noConversion"/>
  </si>
  <si>
    <t>ens_srv : 10.201.102.101
ens_bak : 10.201.122.101
ens_nfs : 10.201.132.101</t>
    <phoneticPr fontId="9" type="noConversion"/>
  </si>
  <si>
    <t>10.201.102.108 : ens_srv</t>
  </si>
  <si>
    <t>dtkfk02</t>
    <phoneticPr fontId="9" type="noConversion"/>
  </si>
  <si>
    <t>ens_srv : 10.201.102.102
ens_bak : 10.201.122.102
ens_nfs : 10.201.132.102</t>
    <phoneticPr fontId="9" type="noConversion"/>
  </si>
  <si>
    <t>dtkfk03</t>
    <phoneticPr fontId="9" type="noConversion"/>
  </si>
  <si>
    <t>ens_srv : 10.201.102.103
ens_bak : 10.201.122.103
ens_nfs : 10.201.132.103</t>
    <phoneticPr fontId="9" type="noConversion"/>
  </si>
  <si>
    <t>dtcicd01</t>
    <phoneticPr fontId="9" type="noConversion"/>
  </si>
  <si>
    <t>ens_srv : 10.201.102.109
ens_bak : 10.201.122.109
ens_nfs : 10.201.132.109</t>
    <phoneticPr fontId="9" type="noConversion"/>
  </si>
  <si>
    <t>dtbg01</t>
    <phoneticPr fontId="9" type="noConversion"/>
  </si>
  <si>
    <t>ens_srv : 10.201.102.111
ens_bak : 10.201.122.111
ens_nfs : 10.201.132.111</t>
    <phoneticPr fontId="9" type="noConversion"/>
  </si>
  <si>
    <t>dtbg02</t>
    <phoneticPr fontId="9" type="noConversion"/>
  </si>
  <si>
    <t>ens_srv : 10.201.102.112
ens_bak : 10.201.122.112
ens_nfs : 10.201.132.112</t>
    <phoneticPr fontId="9" type="noConversion"/>
  </si>
  <si>
    <t>dtbg03</t>
    <phoneticPr fontId="9" type="noConversion"/>
  </si>
  <si>
    <t>ens_srv : 10.201.102.113
ens_bak : 10.201.122.113
ens_nfs : 10.201.132.113</t>
    <phoneticPr fontId="9" type="noConversion"/>
  </si>
  <si>
    <t>dtbg04</t>
    <phoneticPr fontId="9" type="noConversion"/>
  </si>
  <si>
    <t>ens_srv : 10.201.102.114
ens_bak : 10.201.122.114
ens_nfs : 10.201.132.114</t>
    <phoneticPr fontId="9" type="noConversion"/>
  </si>
  <si>
    <t>dtredis01</t>
    <phoneticPr fontId="9" type="noConversion"/>
  </si>
  <si>
    <t>ens_srv : 10.201.102.125
ens_bak : 10.201.122.125
ens_nfs : 10.201.132.125</t>
    <phoneticPr fontId="9" type="noConversion"/>
  </si>
  <si>
    <t>dtva01</t>
    <phoneticPr fontId="9" type="noConversion"/>
  </si>
  <si>
    <t>ens_srv : 10.201.102.131
ens_bak : 10.201.122.131
ens_nfs : 10.201.132.131</t>
    <phoneticPr fontId="9" type="noConversion"/>
  </si>
  <si>
    <t>dtva02</t>
    <phoneticPr fontId="9" type="noConversion"/>
  </si>
  <si>
    <t>ens_srv : 10.201.102.132
ens_bak : 10.201.122.132
ens_nfs : 10.201.132.132</t>
    <phoneticPr fontId="9" type="noConversion"/>
  </si>
  <si>
    <t>dtva03</t>
    <phoneticPr fontId="9" type="noConversion"/>
  </si>
  <si>
    <t>ens_srv : 10.201.102.133
ens_bak : 10.201.122.133
ens_nfs : 10.201.132.133</t>
    <phoneticPr fontId="9" type="noConversion"/>
  </si>
  <si>
    <t>dtmp01</t>
    <phoneticPr fontId="9" type="noConversion"/>
  </si>
  <si>
    <t>ens_srv : 10.201.102.141
ens_bak : 10.201.122.141
ens_nfs : 10.201.132.141</t>
    <phoneticPr fontId="9" type="noConversion"/>
  </si>
  <si>
    <t>dtmp02</t>
    <phoneticPr fontId="9" type="noConversion"/>
  </si>
  <si>
    <t>ens_srv : 10.201.102.142
ens_bak : 10.201.122.142
ens_nfs : 10.201.132.142</t>
    <phoneticPr fontId="9" type="noConversion"/>
  </si>
  <si>
    <t>dtmp03</t>
    <phoneticPr fontId="9" type="noConversion"/>
  </si>
  <si>
    <t>ens_srv : 10.201.102.143
ens_bak : 10.201.122.143
ens_nfs : 10.201.132.143</t>
    <phoneticPr fontId="9" type="noConversion"/>
  </si>
  <si>
    <t>dtsp01</t>
    <phoneticPr fontId="9" type="noConversion"/>
  </si>
  <si>
    <t>ens_srv : 10.201.102.151
ens_bak : 10.201.122.151
ens_nfs : 10.201.132.151</t>
    <phoneticPr fontId="9" type="noConversion"/>
  </si>
  <si>
    <t>dtsp02</t>
    <phoneticPr fontId="9" type="noConversion"/>
  </si>
  <si>
    <t>ens_srv : 10.201.102.152
ens_bak : 10.201.122.152
ens_nfs : 10.201.132.152</t>
    <phoneticPr fontId="9" type="noConversion"/>
  </si>
  <si>
    <t>dtds01</t>
    <phoneticPr fontId="9" type="noConversion"/>
  </si>
  <si>
    <t>ens_srv : 10.201.102.161
ens_bak : 10.201.122.161
ens_nfs : 10.201.132.161</t>
    <phoneticPr fontId="9" type="noConversion"/>
  </si>
  <si>
    <t>dtds02</t>
    <phoneticPr fontId="9" type="noConversion"/>
  </si>
  <si>
    <t>ens_srv : 10.201.102.162
ens_bak : 10.201.122.162
ens_nfs : 10.201.132.162</t>
    <phoneticPr fontId="9" type="noConversion"/>
  </si>
  <si>
    <t>dtgw01</t>
    <phoneticPr fontId="9" type="noConversion"/>
  </si>
  <si>
    <t>ens_srv : 10.201.102.167
ens_bak : 10.201.122.167
ens_nfs : 10.201.132.167</t>
    <phoneticPr fontId="9" type="noConversion"/>
  </si>
  <si>
    <t>dtdb1a</t>
    <phoneticPr fontId="9" type="noConversion"/>
  </si>
  <si>
    <t>RH8.4_Oracle_DT_20220406</t>
    <phoneticPr fontId="9" type="noConversion"/>
  </si>
  <si>
    <t>TCOMM
TCARRIER
(TCOMCAR)
測試共用、發票載具資料庫</t>
    <phoneticPr fontId="9" type="noConversion"/>
  </si>
  <si>
    <t>ens_srv : 10.201.105.11
ens_bak : 10.201.125.11
ens_nfs : 10.201.135.11</t>
    <phoneticPr fontId="9" type="noConversion"/>
  </si>
  <si>
    <t>dtdb2a</t>
    <phoneticPr fontId="9" type="noConversion"/>
  </si>
  <si>
    <t>TEINV
TPB2BC
(TEINVNO)
測試發票日誌、發票號碼資料庫</t>
    <phoneticPr fontId="9" type="noConversion"/>
  </si>
  <si>
    <t>ens_srv : 10.201.105.21
ens_bak : 10.201.125.21
ens_nfs : 10.201.135.21</t>
    <phoneticPr fontId="9" type="noConversion"/>
  </si>
  <si>
    <t>dtdb3a</t>
    <phoneticPr fontId="9" type="noConversion"/>
  </si>
  <si>
    <t>TAWARD
TBAN
TDW
(TAWBAN)
測試兌領獎、開獎、發票統編資料庫</t>
    <phoneticPr fontId="9" type="noConversion"/>
  </si>
  <si>
    <t>ens_srv : 10.201.105.31
ens_bak : 10.201.125.31
ens_nfs : 10.201.135.31</t>
    <phoneticPr fontId="9" type="noConversion"/>
  </si>
  <si>
    <t>dtdb4a</t>
    <phoneticPr fontId="9" type="noConversion"/>
  </si>
  <si>
    <t>TIAGDB+SFTP
(GADATA、IAGDB)
測試APILOG、發票上傳SFTP資料庫</t>
    <phoneticPr fontId="9" type="noConversion"/>
  </si>
  <si>
    <t>ens_srv : 10.201.105.41
ens_bak : 10.201.125.41
ens_nfs : 10.201.135.41</t>
    <phoneticPr fontId="9" type="noConversion"/>
  </si>
  <si>
    <t>實體設備</t>
    <phoneticPr fontId="9" type="noConversion"/>
  </si>
  <si>
    <t>虛擬伺服器</t>
    <phoneticPr fontId="9" type="noConversion"/>
  </si>
  <si>
    <t>網段</t>
    <phoneticPr fontId="9" type="noConversion"/>
  </si>
  <si>
    <t>HA方式</t>
    <phoneticPr fontId="10" type="noConversion"/>
  </si>
  <si>
    <t>主機</t>
    <phoneticPr fontId="9" type="noConversion"/>
  </si>
  <si>
    <t>主機編號</t>
    <phoneticPr fontId="9" type="noConversion"/>
  </si>
  <si>
    <t>Pool名稱</t>
    <phoneticPr fontId="9" type="noConversion"/>
  </si>
  <si>
    <t>Model</t>
    <phoneticPr fontId="9" type="noConversion"/>
  </si>
  <si>
    <t>最大CPU(core)</t>
    <phoneticPr fontId="9" type="noConversion"/>
  </si>
  <si>
    <t>CPU用量</t>
    <phoneticPr fontId="9" type="noConversion"/>
  </si>
  <si>
    <t>最大RAM(GB)</t>
    <phoneticPr fontId="9" type="noConversion"/>
  </si>
  <si>
    <t>RAM用量</t>
    <phoneticPr fontId="9" type="noConversion"/>
  </si>
  <si>
    <t>VM主機編號</t>
    <phoneticPr fontId="9" type="noConversion"/>
  </si>
  <si>
    <t>LPAR/VM主機名稱</t>
    <phoneticPr fontId="9" type="noConversion"/>
  </si>
  <si>
    <t>OS</t>
    <phoneticPr fontId="9" type="noConversion"/>
  </si>
  <si>
    <t>IP</t>
    <phoneticPr fontId="9" type="noConversion"/>
  </si>
  <si>
    <t>軟體建置</t>
    <phoneticPr fontId="9" type="noConversion"/>
  </si>
  <si>
    <t>虛擬磁碟(GB)不含NFS</t>
    <phoneticPr fontId="9" type="noConversion"/>
  </si>
  <si>
    <t>Mgmt IP</t>
    <phoneticPr fontId="9" type="noConversion"/>
  </si>
  <si>
    <t>Host IP</t>
    <phoneticPr fontId="9" type="noConversion"/>
  </si>
  <si>
    <t>型號/序號</t>
    <phoneticPr fontId="9" type="noConversion"/>
  </si>
  <si>
    <t>中心財產編號</t>
    <phoneticPr fontId="9" type="noConversion"/>
  </si>
  <si>
    <t>台北</t>
    <phoneticPr fontId="9" type="noConversion"/>
  </si>
  <si>
    <t>IBM</t>
    <phoneticPr fontId="9" type="noConversion"/>
  </si>
  <si>
    <t>Xen032</t>
    <phoneticPr fontId="9" type="noConversion"/>
  </si>
  <si>
    <t>PMMGT01</t>
    <phoneticPr fontId="9" type="noConversion"/>
  </si>
  <si>
    <t>實體機(Master)</t>
    <phoneticPr fontId="9" type="noConversion"/>
  </si>
  <si>
    <t>Linux</t>
    <phoneticPr fontId="9" type="noConversion"/>
  </si>
  <si>
    <t>監控區</t>
    <phoneticPr fontId="9" type="noConversion"/>
  </si>
  <si>
    <t>10.81.30.32</t>
    <phoneticPr fontId="9" type="noConversion"/>
  </si>
  <si>
    <t>x3650M3</t>
    <phoneticPr fontId="9" type="noConversion"/>
  </si>
  <si>
    <t>AE-09_21U</t>
    <phoneticPr fontId="9" type="noConversion"/>
  </si>
  <si>
    <t>110-3140401-0004-0000280</t>
    <phoneticPr fontId="9" type="noConversion"/>
  </si>
  <si>
    <t>虛擬機</t>
    <phoneticPr fontId="9" type="noConversion"/>
  </si>
  <si>
    <t>Citrix License Server Virtual Appliance</t>
    <phoneticPr fontId="9" type="noConversion"/>
  </si>
  <si>
    <t>10.81.30.10</t>
    <phoneticPr fontId="21" type="noConversion"/>
  </si>
  <si>
    <t>10.88.145.13</t>
    <phoneticPr fontId="9" type="noConversion"/>
  </si>
  <si>
    <t>Xen031</t>
  </si>
  <si>
    <t>實體機</t>
    <phoneticPr fontId="9" type="noConversion"/>
  </si>
  <si>
    <t>10.81.30.31</t>
    <phoneticPr fontId="21" type="noConversion"/>
  </si>
  <si>
    <t>AE-09_23U</t>
    <phoneticPr fontId="9" type="noConversion"/>
  </si>
  <si>
    <t>110-3140401-0004-0000279</t>
    <phoneticPr fontId="9" type="noConversion"/>
  </si>
  <si>
    <t>Xen033</t>
  </si>
  <si>
    <t>10.81.30.33</t>
    <phoneticPr fontId="9" type="noConversion"/>
  </si>
  <si>
    <t>AE-09_19U</t>
    <phoneticPr fontId="9" type="noConversion"/>
  </si>
  <si>
    <t>110-3140401-0004-0000281</t>
    <phoneticPr fontId="9" type="noConversion"/>
  </si>
  <si>
    <t>Xen034</t>
  </si>
  <si>
    <t>10.81.30.34</t>
    <phoneticPr fontId="9" type="noConversion"/>
  </si>
  <si>
    <t>AE-09_17U</t>
    <phoneticPr fontId="9" type="noConversion"/>
  </si>
  <si>
    <t>110-3140401-0004-0000282</t>
    <phoneticPr fontId="9" type="noConversion"/>
  </si>
  <si>
    <t>SVN</t>
    <phoneticPr fontId="9" type="noConversion"/>
  </si>
  <si>
    <t>10.81.251.20</t>
  </si>
  <si>
    <t>Xen035</t>
  </si>
  <si>
    <t>10.81.30.35</t>
    <phoneticPr fontId="9" type="noConversion"/>
  </si>
  <si>
    <t>AE-09_15U</t>
    <phoneticPr fontId="9" type="noConversion"/>
  </si>
  <si>
    <t>110-3140401-0004-0000283</t>
    <phoneticPr fontId="9" type="noConversion"/>
  </si>
  <si>
    <t>Xen019</t>
  </si>
  <si>
    <t>PPAP01</t>
    <phoneticPr fontId="9" type="noConversion"/>
  </si>
  <si>
    <t>營運區</t>
    <phoneticPr fontId="9" type="noConversion"/>
  </si>
  <si>
    <t>x3850X5</t>
    <phoneticPr fontId="9" type="noConversion"/>
  </si>
  <si>
    <t>AE-07_7U</t>
    <phoneticPr fontId="9" type="noConversion"/>
  </si>
  <si>
    <t>110-3140401-0004-0000244</t>
    <phoneticPr fontId="9" type="noConversion"/>
  </si>
  <si>
    <t>10.81.11.15</t>
  </si>
  <si>
    <t>10.81.2.15</t>
    <phoneticPr fontId="9" type="noConversion"/>
  </si>
  <si>
    <t>PPAP09</t>
    <phoneticPr fontId="9" type="noConversion"/>
  </si>
  <si>
    <t>10.81.11.39</t>
  </si>
  <si>
    <t>10.81.2.39</t>
    <phoneticPr fontId="9" type="noConversion"/>
  </si>
  <si>
    <t>PPMP04</t>
    <phoneticPr fontId="9" type="noConversion"/>
  </si>
  <si>
    <t>10.81.11.94</t>
  </si>
  <si>
    <t>10.81.2.94</t>
    <phoneticPr fontId="9" type="noConversion"/>
  </si>
  <si>
    <t>PPVA08</t>
    <phoneticPr fontId="9" type="noConversion"/>
  </si>
  <si>
    <t>10.81.11.68</t>
  </si>
  <si>
    <t>10.81.2.68</t>
    <phoneticPr fontId="9" type="noConversion"/>
  </si>
  <si>
    <t>Xen020</t>
  </si>
  <si>
    <t>10.81.30.20</t>
    <phoneticPr fontId="9" type="noConversion"/>
  </si>
  <si>
    <t>AE-07_3U</t>
    <phoneticPr fontId="9" type="noConversion"/>
  </si>
  <si>
    <t>110-3140401-0004-0000245</t>
    <phoneticPr fontId="9" type="noConversion"/>
  </si>
  <si>
    <t>PPAP06</t>
    <phoneticPr fontId="9" type="noConversion"/>
  </si>
  <si>
    <t>10.81.11.36</t>
  </si>
  <si>
    <t>10.81.2.36</t>
    <phoneticPr fontId="9" type="noConversion"/>
  </si>
  <si>
    <t>PPAP10</t>
    <phoneticPr fontId="9" type="noConversion"/>
  </si>
  <si>
    <t>10.81.11.40</t>
  </si>
  <si>
    <t>10.81.2.40</t>
    <phoneticPr fontId="9" type="noConversion"/>
  </si>
  <si>
    <t>PPESB02</t>
    <phoneticPr fontId="9" type="noConversion"/>
  </si>
  <si>
    <t>10.81.11.42</t>
  </si>
  <si>
    <t>10.81.2.42</t>
    <phoneticPr fontId="9" type="noConversion"/>
  </si>
  <si>
    <t>PPMP05</t>
    <phoneticPr fontId="9" type="noConversion"/>
  </si>
  <si>
    <t>10.81.11.95</t>
  </si>
  <si>
    <t>10.81.2.95</t>
    <phoneticPr fontId="9" type="noConversion"/>
  </si>
  <si>
    <t>PPVA07</t>
    <phoneticPr fontId="9" type="noConversion"/>
  </si>
  <si>
    <t>10.81.11.67</t>
  </si>
  <si>
    <t>10.81.2.67</t>
    <phoneticPr fontId="9" type="noConversion"/>
  </si>
  <si>
    <t>Xen029</t>
  </si>
  <si>
    <t>10.81.30.29</t>
    <phoneticPr fontId="9" type="noConversion"/>
  </si>
  <si>
    <t>AE-08_7U</t>
    <phoneticPr fontId="9" type="noConversion"/>
  </si>
  <si>
    <t>110-3140401-0004-0000246</t>
    <phoneticPr fontId="9" type="noConversion"/>
  </si>
  <si>
    <t>PPAP03</t>
    <phoneticPr fontId="9" type="noConversion"/>
  </si>
  <si>
    <t>10.81.11.25</t>
  </si>
  <si>
    <t>10.81.2.25</t>
    <phoneticPr fontId="9" type="noConversion"/>
  </si>
  <si>
    <t>PPAP05</t>
    <phoneticPr fontId="9" type="noConversion"/>
  </si>
  <si>
    <t>10.81.11.35</t>
  </si>
  <si>
    <t>10.81.2.35</t>
    <phoneticPr fontId="9" type="noConversion"/>
  </si>
  <si>
    <t>PPMP06</t>
    <phoneticPr fontId="9" type="noConversion"/>
  </si>
  <si>
    <t>10.81.11.96</t>
  </si>
  <si>
    <t>10.81.2.96</t>
    <phoneticPr fontId="9" type="noConversion"/>
  </si>
  <si>
    <t>PPVA01</t>
    <phoneticPr fontId="9" type="noConversion"/>
  </si>
  <si>
    <t>10.81.11.61</t>
  </si>
  <si>
    <t>10.81.2.61</t>
    <phoneticPr fontId="9" type="noConversion"/>
  </si>
  <si>
    <t>Xen030</t>
  </si>
  <si>
    <t>10.81.30.30</t>
    <phoneticPr fontId="9" type="noConversion"/>
  </si>
  <si>
    <t>AE-08_3U</t>
    <phoneticPr fontId="9" type="noConversion"/>
  </si>
  <si>
    <t>110-3140401-0004-0000247</t>
    <phoneticPr fontId="9" type="noConversion"/>
  </si>
  <si>
    <t>Xen038</t>
  </si>
  <si>
    <t>10.81.30.38</t>
    <phoneticPr fontId="9" type="noConversion"/>
  </si>
  <si>
    <t>AE-09_7U</t>
    <phoneticPr fontId="9" type="noConversion"/>
  </si>
  <si>
    <t>110-3140401-0004-0000248</t>
    <phoneticPr fontId="9" type="noConversion"/>
  </si>
  <si>
    <t>PPAP04</t>
    <phoneticPr fontId="9" type="noConversion"/>
  </si>
  <si>
    <t>10.81.11.26</t>
  </si>
  <si>
    <t>10.81.2.26</t>
    <phoneticPr fontId="9" type="noConversion"/>
  </si>
  <si>
    <t>PPAPIAP02</t>
    <phoneticPr fontId="9" type="noConversion"/>
  </si>
  <si>
    <t>10.81.11.58</t>
  </si>
  <si>
    <t>10.81.2.58</t>
    <phoneticPr fontId="9" type="noConversion"/>
  </si>
  <si>
    <t>PPKMS02</t>
    <phoneticPr fontId="9" type="noConversion"/>
  </si>
  <si>
    <t>10.81.11.107</t>
  </si>
  <si>
    <t>10.81.2.107</t>
    <phoneticPr fontId="9" type="noConversion"/>
  </si>
  <si>
    <t>PPMP02</t>
    <phoneticPr fontId="9" type="noConversion"/>
  </si>
  <si>
    <t>10.81.11.92</t>
  </si>
  <si>
    <t>10.81.2.92</t>
    <phoneticPr fontId="9" type="noConversion"/>
  </si>
  <si>
    <t>PPVA04</t>
    <phoneticPr fontId="9" type="noConversion"/>
  </si>
  <si>
    <t>10.81.11.64</t>
  </si>
  <si>
    <t>10.81.2.64</t>
    <phoneticPr fontId="9" type="noConversion"/>
  </si>
  <si>
    <t>Xen039</t>
  </si>
  <si>
    <t>10.81.30.39</t>
    <phoneticPr fontId="9" type="noConversion"/>
  </si>
  <si>
    <t>AE-09_3U</t>
    <phoneticPr fontId="9" type="noConversion"/>
  </si>
  <si>
    <t>110-3140401-0004-0000249</t>
    <phoneticPr fontId="9" type="noConversion"/>
  </si>
  <si>
    <t>PPCF01</t>
    <phoneticPr fontId="9" type="noConversion"/>
  </si>
  <si>
    <t>Win2003</t>
    <phoneticPr fontId="9" type="noConversion"/>
  </si>
  <si>
    <t>10.81.11.111</t>
  </si>
  <si>
    <t>10.81.2.111</t>
    <phoneticPr fontId="9" type="noConversion"/>
  </si>
  <si>
    <t>PPESB01</t>
    <phoneticPr fontId="9" type="noConversion"/>
  </si>
  <si>
    <t>10.81.11.41</t>
  </si>
  <si>
    <t>10.81.2.41</t>
    <phoneticPr fontId="9" type="noConversion"/>
  </si>
  <si>
    <t>Xen050</t>
  </si>
  <si>
    <t>10.81.30.50</t>
    <phoneticPr fontId="9" type="noConversion"/>
  </si>
  <si>
    <t>AE-10_3U</t>
    <phoneticPr fontId="9" type="noConversion"/>
  </si>
  <si>
    <t>110-3140401-0004-0000251</t>
    <phoneticPr fontId="9" type="noConversion"/>
  </si>
  <si>
    <t>PPAP02</t>
    <phoneticPr fontId="9" type="noConversion"/>
  </si>
  <si>
    <t>10.81.11.16</t>
    <phoneticPr fontId="9" type="noConversion"/>
  </si>
  <si>
    <t>10.81.2.16</t>
  </si>
  <si>
    <t>PPAP08</t>
    <phoneticPr fontId="9" type="noConversion"/>
  </si>
  <si>
    <t>10.81.11.38</t>
  </si>
  <si>
    <t>10.81.2.38</t>
    <phoneticPr fontId="9" type="noConversion"/>
  </si>
  <si>
    <t>PPMP01</t>
    <phoneticPr fontId="9" type="noConversion"/>
  </si>
  <si>
    <t>10.81.11.91</t>
  </si>
  <si>
    <t>10.81.2.91</t>
    <phoneticPr fontId="9" type="noConversion"/>
  </si>
  <si>
    <t>PPVA05</t>
    <phoneticPr fontId="9" type="noConversion"/>
  </si>
  <si>
    <t>10.81.11.65</t>
  </si>
  <si>
    <t>10.81.2.65</t>
    <phoneticPr fontId="9" type="noConversion"/>
  </si>
  <si>
    <t>PPVA06</t>
    <phoneticPr fontId="9" type="noConversion"/>
  </si>
  <si>
    <t>10.81.11.66</t>
  </si>
  <si>
    <t>10.81.2.66</t>
    <phoneticPr fontId="9" type="noConversion"/>
  </si>
  <si>
    <t>Xen058</t>
  </si>
  <si>
    <t>10.81.30.58</t>
    <phoneticPr fontId="9" type="noConversion"/>
  </si>
  <si>
    <t>AE-11_7U</t>
    <phoneticPr fontId="9" type="noConversion"/>
  </si>
  <si>
    <t>110-3140401-0004-0000250</t>
    <phoneticPr fontId="9" type="noConversion"/>
  </si>
  <si>
    <t>PPAP07</t>
    <phoneticPr fontId="9" type="noConversion"/>
  </si>
  <si>
    <t>10.81.11.37</t>
  </si>
  <si>
    <t>10.81.2.37</t>
    <phoneticPr fontId="9" type="noConversion"/>
  </si>
  <si>
    <t>PPBG02</t>
    <phoneticPr fontId="9" type="noConversion"/>
  </si>
  <si>
    <t>10.81.11.56</t>
  </si>
  <si>
    <t>10.81.2.56</t>
    <phoneticPr fontId="9" type="noConversion"/>
  </si>
  <si>
    <t>PPDBR</t>
    <phoneticPr fontId="9" type="noConversion"/>
  </si>
  <si>
    <t>10.81.11.116</t>
  </si>
  <si>
    <t>10.81.2.116</t>
    <phoneticPr fontId="9" type="noConversion"/>
  </si>
  <si>
    <t>PPLOG</t>
    <phoneticPr fontId="9" type="noConversion"/>
  </si>
  <si>
    <t>10.81.11.117</t>
  </si>
  <si>
    <t>10.81.2.117</t>
    <phoneticPr fontId="9" type="noConversion"/>
  </si>
  <si>
    <t>PPMP03</t>
    <phoneticPr fontId="9" type="noConversion"/>
  </si>
  <si>
    <t>10.81.11.93</t>
  </si>
  <si>
    <t>10.81.2.93</t>
    <phoneticPr fontId="9" type="noConversion"/>
  </si>
  <si>
    <t>PPVA02</t>
    <phoneticPr fontId="9" type="noConversion"/>
  </si>
  <si>
    <t>10.81.11.62</t>
  </si>
  <si>
    <t>10.81.2.62</t>
    <phoneticPr fontId="9" type="noConversion"/>
  </si>
  <si>
    <t>Xen059</t>
  </si>
  <si>
    <t>10.81.30.59</t>
    <phoneticPr fontId="9" type="noConversion"/>
  </si>
  <si>
    <t>AE-11_3U</t>
    <phoneticPr fontId="9" type="noConversion"/>
  </si>
  <si>
    <t>110-3140401-0004-0000253</t>
    <phoneticPr fontId="9" type="noConversion"/>
  </si>
  <si>
    <t>10.81.11.10</t>
    <phoneticPr fontId="9" type="noConversion"/>
  </si>
  <si>
    <t>10.81.2.10</t>
  </si>
  <si>
    <t>PPAPIAP01</t>
    <phoneticPr fontId="9" type="noConversion"/>
  </si>
  <si>
    <t>10.81.11.57</t>
  </si>
  <si>
    <t>10.81.2.57</t>
    <phoneticPr fontId="9" type="noConversion"/>
  </si>
  <si>
    <t>PPBG01</t>
    <phoneticPr fontId="9" type="noConversion"/>
  </si>
  <si>
    <t>10.81.11.51</t>
  </si>
  <si>
    <t>10.81.2.51</t>
    <phoneticPr fontId="9" type="noConversion"/>
  </si>
  <si>
    <t>PPKMS01</t>
    <phoneticPr fontId="9" type="noConversion"/>
  </si>
  <si>
    <t>10.81.11.106</t>
  </si>
  <si>
    <t>10.81.2.106</t>
    <phoneticPr fontId="9" type="noConversion"/>
  </si>
  <si>
    <t>PPVA03</t>
    <phoneticPr fontId="9" type="noConversion"/>
  </si>
  <si>
    <t>10.81.11.63</t>
  </si>
  <si>
    <t>10.81.2.63</t>
    <phoneticPr fontId="9" type="noConversion"/>
  </si>
  <si>
    <t>Xen042</t>
    <phoneticPr fontId="9" type="noConversion"/>
  </si>
  <si>
    <t>PPSOC01</t>
    <phoneticPr fontId="9" type="noConversion"/>
  </si>
  <si>
    <t>10.81.30.42</t>
    <phoneticPr fontId="9" type="noConversion"/>
  </si>
  <si>
    <t>AE-10_23U</t>
    <phoneticPr fontId="9" type="noConversion"/>
  </si>
  <si>
    <t>110-3140401-0004-0000289</t>
    <phoneticPr fontId="9" type="noConversion"/>
  </si>
  <si>
    <t>PIBSP01</t>
    <phoneticPr fontId="9" type="noConversion"/>
  </si>
  <si>
    <t>10.81.20.170</t>
    <phoneticPr fontId="9" type="noConversion"/>
  </si>
  <si>
    <t>Xen041</t>
    <phoneticPr fontId="9" type="noConversion"/>
  </si>
  <si>
    <t>10.81.30.41</t>
    <phoneticPr fontId="9" type="noConversion"/>
  </si>
  <si>
    <t>AE-10_25U</t>
    <phoneticPr fontId="9" type="noConversion"/>
  </si>
  <si>
    <t>110-3140401-0004-0000288</t>
    <phoneticPr fontId="9" type="noConversion"/>
  </si>
  <si>
    <t>fortilog</t>
    <phoneticPr fontId="9" type="noConversion"/>
  </si>
  <si>
    <t>10.81.20.182</t>
    <phoneticPr fontId="9" type="noConversion"/>
  </si>
  <si>
    <t>Xen043</t>
    <phoneticPr fontId="9" type="noConversion"/>
  </si>
  <si>
    <t>10.81.30.43</t>
    <phoneticPr fontId="9" type="noConversion"/>
  </si>
  <si>
    <t>x3650</t>
    <phoneticPr fontId="9" type="noConversion"/>
  </si>
  <si>
    <t>AE-10_21U</t>
    <phoneticPr fontId="9" type="noConversion"/>
  </si>
  <si>
    <t>110-3140401-0004-0000290</t>
    <phoneticPr fontId="9" type="noConversion"/>
  </si>
  <si>
    <t>PPXDM01</t>
    <phoneticPr fontId="9" type="noConversion"/>
  </si>
  <si>
    <t>10.81.32.21</t>
    <phoneticPr fontId="9" type="noConversion"/>
  </si>
  <si>
    <t>Xen044</t>
    <phoneticPr fontId="9" type="noConversion"/>
  </si>
  <si>
    <t>10.81.30.44</t>
    <phoneticPr fontId="9" type="noConversion"/>
  </si>
  <si>
    <t>AE-10_19U</t>
    <phoneticPr fontId="9" type="noConversion"/>
  </si>
  <si>
    <t>110-3140401-0004-0000293</t>
    <phoneticPr fontId="9" type="noConversion"/>
  </si>
  <si>
    <t>PSYSC01</t>
    <phoneticPr fontId="9" type="noConversion"/>
  </si>
  <si>
    <t>10.81.20.179</t>
    <phoneticPr fontId="9" type="noConversion"/>
  </si>
  <si>
    <t>Xen52</t>
    <phoneticPr fontId="9" type="noConversion"/>
  </si>
  <si>
    <t>PPWEB01</t>
    <phoneticPr fontId="9" type="noConversion"/>
  </si>
  <si>
    <t>10.81.30.52</t>
    <phoneticPr fontId="9" type="noConversion"/>
  </si>
  <si>
    <t>AE-11_21U</t>
    <phoneticPr fontId="9" type="noConversion"/>
  </si>
  <si>
    <t>110-3140401-0004-0000257</t>
    <phoneticPr fontId="9" type="noConversion"/>
  </si>
  <si>
    <t>PPWEB06</t>
    <phoneticPr fontId="9" type="noConversion"/>
  </si>
  <si>
    <t>10.81.30.94</t>
    <phoneticPr fontId="9" type="noConversion"/>
  </si>
  <si>
    <t>10.81.10.32</t>
  </si>
  <si>
    <t>10.81.1.32</t>
    <phoneticPr fontId="9" type="noConversion"/>
  </si>
  <si>
    <t>10.81.1.9</t>
    <phoneticPr fontId="9" type="noConversion"/>
  </si>
  <si>
    <t>Xen047</t>
    <phoneticPr fontId="9" type="noConversion"/>
  </si>
  <si>
    <t>10.81.30.47</t>
    <phoneticPr fontId="9" type="noConversion"/>
  </si>
  <si>
    <t>AE-10_13U</t>
    <phoneticPr fontId="9" type="noConversion"/>
  </si>
  <si>
    <t>110-3140401-0004-0000254</t>
    <phoneticPr fontId="9" type="noConversion"/>
  </si>
  <si>
    <t>10.81.1.75</t>
  </si>
  <si>
    <t>PPMAIL01</t>
    <phoneticPr fontId="9" type="noConversion"/>
  </si>
  <si>
    <t>10.81.1.71</t>
  </si>
  <si>
    <t>Xen048</t>
    <phoneticPr fontId="9" type="noConversion"/>
  </si>
  <si>
    <t>10.81.30.48</t>
    <phoneticPr fontId="9" type="noConversion"/>
  </si>
  <si>
    <t>AE-10_11U</t>
    <phoneticPr fontId="9" type="noConversion"/>
  </si>
  <si>
    <t>110-3140401-0004-0000255</t>
    <phoneticPr fontId="9" type="noConversion"/>
  </si>
  <si>
    <t>PPAPIWEB01</t>
    <phoneticPr fontId="9" type="noConversion"/>
  </si>
  <si>
    <t>10.81.10.63</t>
  </si>
  <si>
    <t>10.81.1.63</t>
    <phoneticPr fontId="9" type="noConversion"/>
  </si>
  <si>
    <t>PPFTP02</t>
    <phoneticPr fontId="9" type="noConversion"/>
  </si>
  <si>
    <t>10.81.10.42</t>
  </si>
  <si>
    <t>10.81.1.42</t>
    <phoneticPr fontId="9" type="noConversion"/>
  </si>
  <si>
    <t>PPFTP03</t>
    <phoneticPr fontId="9" type="noConversion"/>
  </si>
  <si>
    <t>10.81.10.45</t>
  </si>
  <si>
    <t>10.81.1.45</t>
    <phoneticPr fontId="9" type="noConversion"/>
  </si>
  <si>
    <t>PPFTP05</t>
    <phoneticPr fontId="9" type="noConversion"/>
  </si>
  <si>
    <t>10.81.10.47</t>
    <phoneticPr fontId="9" type="noConversion"/>
  </si>
  <si>
    <t>10.81.1.47</t>
    <phoneticPr fontId="9" type="noConversion"/>
  </si>
  <si>
    <t>PPWEB02</t>
    <phoneticPr fontId="9" type="noConversion"/>
  </si>
  <si>
    <t>10.81.10.12</t>
    <phoneticPr fontId="9" type="noConversion"/>
  </si>
  <si>
    <t>10.81.1.12</t>
    <phoneticPr fontId="9" type="noConversion"/>
  </si>
  <si>
    <t>Xen053</t>
    <phoneticPr fontId="9" type="noConversion"/>
  </si>
  <si>
    <t>10.81.30.53</t>
    <phoneticPr fontId="9" type="noConversion"/>
  </si>
  <si>
    <t>AE-11_19U</t>
    <phoneticPr fontId="9" type="noConversion"/>
  </si>
  <si>
    <t>110-3140401-0004-0000258</t>
    <phoneticPr fontId="9" type="noConversion"/>
  </si>
  <si>
    <t>PPFTP01</t>
    <phoneticPr fontId="9" type="noConversion"/>
  </si>
  <si>
    <t>10.81.10.41</t>
  </si>
  <si>
    <t>10.81.1.41</t>
    <phoneticPr fontId="9" type="noConversion"/>
  </si>
  <si>
    <t>PPFTP04</t>
    <phoneticPr fontId="9" type="noConversion"/>
  </si>
  <si>
    <t>10.81.10.46</t>
  </si>
  <si>
    <t>10.81.1.46</t>
    <phoneticPr fontId="9" type="noConversion"/>
  </si>
  <si>
    <t>PPFTP06</t>
    <phoneticPr fontId="9" type="noConversion"/>
  </si>
  <si>
    <t>10.81.10.48</t>
  </si>
  <si>
    <t>10.81.1.48</t>
    <phoneticPr fontId="9" type="noConversion"/>
  </si>
  <si>
    <t>PPMAIL03</t>
    <phoneticPr fontId="9" type="noConversion"/>
  </si>
  <si>
    <t>10.81.10.79</t>
  </si>
  <si>
    <t>10.81.1.79</t>
    <phoneticPr fontId="9" type="noConversion"/>
  </si>
  <si>
    <t>虛擬機(關機)</t>
    <phoneticPr fontId="9" type="noConversion"/>
  </si>
  <si>
    <t>PPSEARCH01</t>
    <phoneticPr fontId="9" type="noConversion"/>
  </si>
  <si>
    <t>10.81.10.72</t>
  </si>
  <si>
    <t>10.81.1.72</t>
    <phoneticPr fontId="9" type="noConversion"/>
  </si>
  <si>
    <t>PPWEBGE01</t>
    <phoneticPr fontId="9" type="noConversion"/>
  </si>
  <si>
    <t>Win2008R2</t>
    <phoneticPr fontId="9" type="noConversion"/>
  </si>
  <si>
    <t>10.81.10.122</t>
  </si>
  <si>
    <t>10.81.1.122</t>
    <phoneticPr fontId="9" type="noConversion"/>
  </si>
  <si>
    <t>10.81.1.188</t>
    <phoneticPr fontId="9" type="noConversion"/>
  </si>
  <si>
    <t>Xen054</t>
    <phoneticPr fontId="9" type="noConversion"/>
  </si>
  <si>
    <t>10.81.30.54</t>
    <phoneticPr fontId="9" type="noConversion"/>
  </si>
  <si>
    <t>AE-11_17U</t>
    <phoneticPr fontId="9" type="noConversion"/>
  </si>
  <si>
    <t>110-3140401-0004-0000259</t>
    <phoneticPr fontId="9" type="noConversion"/>
  </si>
  <si>
    <t>MOSSAP</t>
    <phoneticPr fontId="9" type="noConversion"/>
  </si>
  <si>
    <t>10.81.10.81</t>
  </si>
  <si>
    <t>10.81.1.81</t>
    <phoneticPr fontId="9" type="noConversion"/>
  </si>
  <si>
    <t>10.81.10.11</t>
  </si>
  <si>
    <t>10.81.1.11</t>
    <phoneticPr fontId="9" type="noConversion"/>
  </si>
  <si>
    <t>TMART_10.81.1.73_In TMARTSR</t>
    <phoneticPr fontId="9" type="noConversion"/>
  </si>
  <si>
    <t>Windows 2008 R2</t>
  </si>
  <si>
    <t>10.81.10.73</t>
  </si>
  <si>
    <t>10.81.1.73</t>
    <phoneticPr fontId="9" type="noConversion"/>
  </si>
  <si>
    <t>Xen055</t>
    <phoneticPr fontId="9" type="noConversion"/>
  </si>
  <si>
    <t>10.81.30.55</t>
    <phoneticPr fontId="9" type="noConversion"/>
  </si>
  <si>
    <t>AE-11_15U</t>
    <phoneticPr fontId="9" type="noConversion"/>
  </si>
  <si>
    <t>110-3140401-0004-0000260</t>
    <phoneticPr fontId="9" type="noConversion"/>
  </si>
  <si>
    <t>PPAPIWEB03</t>
    <phoneticPr fontId="9" type="noConversion"/>
  </si>
  <si>
    <t>10.81.10.65</t>
  </si>
  <si>
    <t>10.81.1.65</t>
    <phoneticPr fontId="9" type="noConversion"/>
  </si>
  <si>
    <t>PPMAIL02</t>
    <phoneticPr fontId="9" type="noConversion"/>
  </si>
  <si>
    <t>10.81.10.78</t>
  </si>
  <si>
    <t>10.81.1.78</t>
    <phoneticPr fontId="9" type="noConversion"/>
  </si>
  <si>
    <t>PPWEB03</t>
    <phoneticPr fontId="9" type="noConversion"/>
  </si>
  <si>
    <t>10.81.10.21</t>
    <phoneticPr fontId="9" type="noConversion"/>
  </si>
  <si>
    <t>10.81.1.21</t>
    <phoneticPr fontId="9" type="noConversion"/>
  </si>
  <si>
    <t>PPWEB05</t>
    <phoneticPr fontId="9" type="noConversion"/>
  </si>
  <si>
    <t>10.81.10.31</t>
  </si>
  <si>
    <t>10.81.1.31</t>
    <phoneticPr fontId="9" type="noConversion"/>
  </si>
  <si>
    <t>TMC_New_In_TMARTSR</t>
    <phoneticPr fontId="9" type="noConversion"/>
  </si>
  <si>
    <t>WinXP</t>
    <phoneticPr fontId="9" type="noConversion"/>
  </si>
  <si>
    <t>10.81.1.74</t>
    <phoneticPr fontId="9" type="noConversion"/>
  </si>
  <si>
    <t>TMC_In_TMARTSR</t>
    <phoneticPr fontId="9" type="noConversion"/>
  </si>
  <si>
    <t>10.81.1.76</t>
    <phoneticPr fontId="9" type="noConversion"/>
  </si>
  <si>
    <t>Xen056</t>
    <phoneticPr fontId="9" type="noConversion"/>
  </si>
  <si>
    <t>10.81.30.56</t>
    <phoneticPr fontId="9" type="noConversion"/>
  </si>
  <si>
    <t>AE-11_13U</t>
    <phoneticPr fontId="9" type="noConversion"/>
  </si>
  <si>
    <t>110-3140401-0004-0000261</t>
    <phoneticPr fontId="9" type="noConversion"/>
  </si>
  <si>
    <t>MOSSSQL</t>
    <phoneticPr fontId="9" type="noConversion"/>
  </si>
  <si>
    <t>10.81.10.82</t>
  </si>
  <si>
    <t>10.81.1.82</t>
    <phoneticPr fontId="9" type="noConversion"/>
  </si>
  <si>
    <t>PPWEB04</t>
    <phoneticPr fontId="9" type="noConversion"/>
  </si>
  <si>
    <t>10.81.10.22</t>
    <phoneticPr fontId="9" type="noConversion"/>
  </si>
  <si>
    <t>10.81.1.22</t>
    <phoneticPr fontId="9" type="noConversion"/>
  </si>
  <si>
    <t>Xen012</t>
    <phoneticPr fontId="9" type="noConversion"/>
  </si>
  <si>
    <t>PVAP01</t>
    <phoneticPr fontId="9" type="noConversion"/>
  </si>
  <si>
    <t>驗證區</t>
    <phoneticPr fontId="9" type="noConversion"/>
  </si>
  <si>
    <t>10.81.30.12</t>
    <phoneticPr fontId="9" type="noConversion"/>
  </si>
  <si>
    <t>AE-07_23U</t>
    <phoneticPr fontId="9" type="noConversion"/>
  </si>
  <si>
    <t>110-3140401-0004-0000268</t>
    <phoneticPr fontId="9" type="noConversion"/>
  </si>
  <si>
    <t>PEAP01</t>
    <phoneticPr fontId="9" type="noConversion"/>
  </si>
  <si>
    <t>10.81.111.121</t>
  </si>
  <si>
    <t>10.81.102.121</t>
    <phoneticPr fontId="9" type="noConversion"/>
  </si>
  <si>
    <t>PEMQ1A</t>
    <phoneticPr fontId="9" type="noConversion"/>
  </si>
  <si>
    <t>10.81.111.152</t>
  </si>
  <si>
    <t>10.81.102.152</t>
    <phoneticPr fontId="9" type="noConversion"/>
  </si>
  <si>
    <t>PVESB01</t>
    <phoneticPr fontId="9" type="noConversion"/>
  </si>
  <si>
    <t>10.81.111.41</t>
  </si>
  <si>
    <t>10.81.102.41</t>
    <phoneticPr fontId="9" type="noConversion"/>
  </si>
  <si>
    <t>PVMP01</t>
    <phoneticPr fontId="9" type="noConversion"/>
  </si>
  <si>
    <t>10.81.111.91</t>
  </si>
  <si>
    <t>10.81.102.91</t>
    <phoneticPr fontId="9" type="noConversion"/>
  </si>
  <si>
    <t>Xen013</t>
    <phoneticPr fontId="9" type="noConversion"/>
  </si>
  <si>
    <t>10.81.30.13</t>
    <phoneticPr fontId="9" type="noConversion"/>
  </si>
  <si>
    <t>AE-07_21U</t>
    <phoneticPr fontId="9" type="noConversion"/>
  </si>
  <si>
    <t>110-3140401-0004-0000269</t>
    <phoneticPr fontId="9" type="noConversion"/>
  </si>
  <si>
    <t>PEESB01</t>
    <phoneticPr fontId="9" type="noConversion"/>
  </si>
  <si>
    <t>10.81.111.151</t>
  </si>
  <si>
    <t>10.81.102.151</t>
    <phoneticPr fontId="9" type="noConversion"/>
  </si>
  <si>
    <t>PEMP01</t>
    <phoneticPr fontId="9" type="noConversion"/>
  </si>
  <si>
    <t>10.81.111.201</t>
  </si>
  <si>
    <t>10.81.102.201</t>
    <phoneticPr fontId="9" type="noConversion"/>
  </si>
  <si>
    <t>PEVA02</t>
    <phoneticPr fontId="9" type="noConversion"/>
  </si>
  <si>
    <t>10.81.111.172</t>
  </si>
  <si>
    <t>10.81.102.172</t>
    <phoneticPr fontId="9" type="noConversion"/>
  </si>
  <si>
    <t>PVAP02</t>
    <phoneticPr fontId="9" type="noConversion"/>
  </si>
  <si>
    <t>10.81.111.12</t>
  </si>
  <si>
    <t>10.81.102.12</t>
    <phoneticPr fontId="9" type="noConversion"/>
  </si>
  <si>
    <t>PVAP06</t>
    <phoneticPr fontId="9" type="noConversion"/>
  </si>
  <si>
    <t>10.81.111.212</t>
  </si>
  <si>
    <t>10.81.102.212</t>
    <phoneticPr fontId="9" type="noConversion"/>
  </si>
  <si>
    <t>PVBG01</t>
    <phoneticPr fontId="9" type="noConversion"/>
  </si>
  <si>
    <t>10.81.111.51</t>
  </si>
  <si>
    <t>10.81.102.51</t>
    <phoneticPr fontId="9" type="noConversion"/>
  </si>
  <si>
    <t>PVVA09</t>
    <phoneticPr fontId="9" type="noConversion"/>
  </si>
  <si>
    <t>10.81.111.81</t>
  </si>
  <si>
    <t>10.81.102.81</t>
    <phoneticPr fontId="9" type="noConversion"/>
  </si>
  <si>
    <t>Xen014</t>
  </si>
  <si>
    <t>10.81.30.14</t>
    <phoneticPr fontId="9" type="noConversion"/>
  </si>
  <si>
    <t>AE-07_19U</t>
    <phoneticPr fontId="9" type="noConversion"/>
  </si>
  <si>
    <t>110-3140401-0004-0000270</t>
    <phoneticPr fontId="9" type="noConversion"/>
  </si>
  <si>
    <t>PEAP04</t>
    <phoneticPr fontId="9" type="noConversion"/>
  </si>
  <si>
    <t>10.81.111.136</t>
  </si>
  <si>
    <t>10.81.102.136</t>
    <phoneticPr fontId="9" type="noConversion"/>
  </si>
  <si>
    <t>PEVA01</t>
    <phoneticPr fontId="9" type="noConversion"/>
  </si>
  <si>
    <t>10.81.111.171</t>
  </si>
  <si>
    <t>10.81.102.171</t>
    <phoneticPr fontId="9" type="noConversion"/>
  </si>
  <si>
    <t>PVAMTAP</t>
    <phoneticPr fontId="9" type="noConversion"/>
  </si>
  <si>
    <t>10.81.111.58</t>
  </si>
  <si>
    <t>10.81.102.58</t>
    <phoneticPr fontId="9" type="noConversion"/>
  </si>
  <si>
    <t>PVCF01</t>
    <phoneticPr fontId="9" type="noConversion"/>
  </si>
  <si>
    <t>PVDBR</t>
    <phoneticPr fontId="9" type="noConversion"/>
  </si>
  <si>
    <t>10.81.111.116</t>
  </si>
  <si>
    <t>10.81.102.116</t>
    <phoneticPr fontId="9" type="noConversion"/>
  </si>
  <si>
    <t>PVESB02</t>
    <phoneticPr fontId="9" type="noConversion"/>
  </si>
  <si>
    <t>10.81.111.42</t>
  </si>
  <si>
    <t>10.81.102.42</t>
    <phoneticPr fontId="9" type="noConversion"/>
  </si>
  <si>
    <t>PVMP02</t>
    <phoneticPr fontId="9" type="noConversion"/>
  </si>
  <si>
    <t>10.81.111.92</t>
  </si>
  <si>
    <t>10.81.102.92</t>
    <phoneticPr fontId="9" type="noConversion"/>
  </si>
  <si>
    <t>Xen015</t>
  </si>
  <si>
    <t>10.81.30.15</t>
    <phoneticPr fontId="9" type="noConversion"/>
  </si>
  <si>
    <t>AE-07_17U</t>
    <phoneticPr fontId="9" type="noConversion"/>
  </si>
  <si>
    <t>110-3140401-0004-0000271</t>
    <phoneticPr fontId="9" type="noConversion"/>
  </si>
  <si>
    <t>PEBG01</t>
    <phoneticPr fontId="9" type="noConversion"/>
  </si>
  <si>
    <t>10.81.111.161</t>
  </si>
  <si>
    <t>10.81.102.161</t>
    <phoneticPr fontId="9" type="noConversion"/>
  </si>
  <si>
    <t>PVAP04</t>
    <phoneticPr fontId="9" type="noConversion"/>
  </si>
  <si>
    <t>10.81.111.26</t>
  </si>
  <si>
    <t>10.81.102.26</t>
    <phoneticPr fontId="9" type="noConversion"/>
  </si>
  <si>
    <t>PVAPIAP02</t>
    <phoneticPr fontId="9" type="noConversion"/>
  </si>
  <si>
    <t>10.81.111.57</t>
  </si>
  <si>
    <t>10.81.102.57</t>
    <phoneticPr fontId="9" type="noConversion"/>
  </si>
  <si>
    <t>PVMP03</t>
    <phoneticPr fontId="9" type="noConversion"/>
  </si>
  <si>
    <t>10.81.111.93</t>
  </si>
  <si>
    <t>10.81.102.93</t>
    <phoneticPr fontId="9" type="noConversion"/>
  </si>
  <si>
    <t>PVVA01</t>
    <phoneticPr fontId="9" type="noConversion"/>
  </si>
  <si>
    <t>10.81.111.61</t>
  </si>
  <si>
    <t>10.81.102.61</t>
    <phoneticPr fontId="9" type="noConversion"/>
  </si>
  <si>
    <t>PVVA02</t>
    <phoneticPr fontId="9" type="noConversion"/>
  </si>
  <si>
    <t>10.81.111.62</t>
  </si>
  <si>
    <t>10.81.102.62</t>
    <phoneticPr fontId="9" type="noConversion"/>
  </si>
  <si>
    <t>Xen016</t>
  </si>
  <si>
    <t>10.81.30.16</t>
    <phoneticPr fontId="9" type="noConversion"/>
  </si>
  <si>
    <t>AE-07_15U</t>
    <phoneticPr fontId="9" type="noConversion"/>
  </si>
  <si>
    <t>110-3140401-0004-0000272</t>
    <phoneticPr fontId="9" type="noConversion"/>
  </si>
  <si>
    <t>PEAP02</t>
    <phoneticPr fontId="9" type="noConversion"/>
  </si>
  <si>
    <t>10.81.111.122</t>
  </si>
  <si>
    <t>10.81.102.122</t>
    <phoneticPr fontId="9" type="noConversion"/>
  </si>
  <si>
    <t>PEAP03</t>
    <phoneticPr fontId="9" type="noConversion"/>
  </si>
  <si>
    <t>10.81.111.135</t>
  </si>
  <si>
    <t>10.81.102.135</t>
    <phoneticPr fontId="9" type="noConversion"/>
  </si>
  <si>
    <t>10.81.111.11</t>
  </si>
  <si>
    <t>10.81.102.11</t>
    <phoneticPr fontId="9" type="noConversion"/>
  </si>
  <si>
    <t>PVAP03</t>
    <phoneticPr fontId="9" type="noConversion"/>
  </si>
  <si>
    <t>10.81.111.25</t>
  </si>
  <si>
    <t>10.81.102.25</t>
    <phoneticPr fontId="9" type="noConversion"/>
  </si>
  <si>
    <t>PVAP05</t>
    <phoneticPr fontId="9" type="noConversion"/>
  </si>
  <si>
    <t>10.81.111.225</t>
  </si>
  <si>
    <t>10.81.102.225</t>
    <phoneticPr fontId="9" type="noConversion"/>
  </si>
  <si>
    <t>PVAPIAP01</t>
    <phoneticPr fontId="9" type="noConversion"/>
  </si>
  <si>
    <t>10.81.111.56</t>
  </si>
  <si>
    <t>10.81.102.56</t>
    <phoneticPr fontId="9" type="noConversion"/>
  </si>
  <si>
    <t>PVVA03</t>
    <phoneticPr fontId="9" type="noConversion"/>
  </si>
  <si>
    <t>10.81.111.63</t>
  </si>
  <si>
    <t>10.81.102.63</t>
    <phoneticPr fontId="9" type="noConversion"/>
  </si>
  <si>
    <t>Xen023</t>
    <phoneticPr fontId="9" type="noConversion"/>
  </si>
  <si>
    <t>PVWEB01</t>
    <phoneticPr fontId="9" type="noConversion"/>
  </si>
  <si>
    <t>10.81.30.23</t>
    <phoneticPr fontId="9" type="noConversion"/>
  </si>
  <si>
    <t>AE-08_21U</t>
    <phoneticPr fontId="9" type="noConversion"/>
  </si>
  <si>
    <t>110-3140401-0004-0000273</t>
    <phoneticPr fontId="9" type="noConversion"/>
  </si>
  <si>
    <t>PEWEB01</t>
    <phoneticPr fontId="9" type="noConversion"/>
  </si>
  <si>
    <t>10.81.110.121</t>
  </si>
  <si>
    <t>10.81.101.121</t>
    <phoneticPr fontId="9" type="noConversion"/>
  </si>
  <si>
    <t>PEWEB03</t>
    <phoneticPr fontId="9" type="noConversion"/>
  </si>
  <si>
    <t>10.81.110.131</t>
  </si>
  <si>
    <t>10.81.101.131</t>
    <phoneticPr fontId="9" type="noConversion"/>
  </si>
  <si>
    <t>PVAMTWEB</t>
    <phoneticPr fontId="9" type="noConversion"/>
  </si>
  <si>
    <t>10.81.110.63</t>
  </si>
  <si>
    <t>10.81.101.63</t>
    <phoneticPr fontId="9" type="noConversion"/>
  </si>
  <si>
    <t>PVAPIWEB01</t>
    <phoneticPr fontId="9" type="noConversion"/>
  </si>
  <si>
    <t>10.81.110.61</t>
  </si>
  <si>
    <t>10.81.101.61</t>
    <phoneticPr fontId="9" type="noConversion"/>
  </si>
  <si>
    <t>10.81.110.11</t>
  </si>
  <si>
    <t>10.81.101.11</t>
    <phoneticPr fontId="9" type="noConversion"/>
  </si>
  <si>
    <t>PVWEB03</t>
    <phoneticPr fontId="9" type="noConversion"/>
  </si>
  <si>
    <t>10.81.110.21</t>
    <phoneticPr fontId="9" type="noConversion"/>
  </si>
  <si>
    <t>10.81.101.21</t>
    <phoneticPr fontId="9" type="noConversion"/>
  </si>
  <si>
    <t>Xen024</t>
  </si>
  <si>
    <t>10.81.30.24</t>
    <phoneticPr fontId="9" type="noConversion"/>
  </si>
  <si>
    <t>AE-08_19U</t>
    <phoneticPr fontId="9" type="noConversion"/>
  </si>
  <si>
    <t>110-3140401-0004-0000274</t>
    <phoneticPr fontId="9" type="noConversion"/>
  </si>
  <si>
    <t>PEWEB04</t>
    <phoneticPr fontId="9" type="noConversion"/>
  </si>
  <si>
    <t>10.81.110.132</t>
  </si>
  <si>
    <t>10.81.101.132</t>
    <phoneticPr fontId="9" type="noConversion"/>
  </si>
  <si>
    <t>PEWEB06</t>
    <phoneticPr fontId="9" type="noConversion"/>
  </si>
  <si>
    <t>10.81.110.142</t>
  </si>
  <si>
    <t>10.81.101.142</t>
    <phoneticPr fontId="9" type="noConversion"/>
  </si>
  <si>
    <t>PVFTP03</t>
    <phoneticPr fontId="9" type="noConversion"/>
  </si>
  <si>
    <t>10.81.110.45</t>
  </si>
  <si>
    <t>10.81.101.45</t>
    <phoneticPr fontId="9" type="noConversion"/>
  </si>
  <si>
    <t>PVSEARCH</t>
    <phoneticPr fontId="9" type="noConversion"/>
  </si>
  <si>
    <t>10.81.110.72</t>
  </si>
  <si>
    <t>10.81.101.72</t>
    <phoneticPr fontId="9" type="noConversion"/>
  </si>
  <si>
    <t>PVWEB02</t>
    <phoneticPr fontId="9" type="noConversion"/>
  </si>
  <si>
    <t>10.81.110.12</t>
  </si>
  <si>
    <t>10.81.101.12</t>
    <phoneticPr fontId="9" type="noConversion"/>
  </si>
  <si>
    <t>PVWEB04</t>
    <phoneticPr fontId="9" type="noConversion"/>
  </si>
  <si>
    <t>10.81.110.22</t>
  </si>
  <si>
    <t>10.81.101.22</t>
    <phoneticPr fontId="9" type="noConversion"/>
  </si>
  <si>
    <t>Xen025</t>
  </si>
  <si>
    <t>10.81.30.25</t>
    <phoneticPr fontId="9" type="noConversion"/>
  </si>
  <si>
    <t>AE-08_17U</t>
    <phoneticPr fontId="9" type="noConversion"/>
  </si>
  <si>
    <t>110-3140401-0004-0000275</t>
    <phoneticPr fontId="9" type="noConversion"/>
  </si>
  <si>
    <t>PEFTP01</t>
    <phoneticPr fontId="9" type="noConversion"/>
  </si>
  <si>
    <t>10.81.110.151</t>
  </si>
  <si>
    <t>10.81.101.151</t>
    <phoneticPr fontId="9" type="noConversion"/>
  </si>
  <si>
    <t>PEWEB02</t>
    <phoneticPr fontId="9" type="noConversion"/>
  </si>
  <si>
    <t>10.81.110.122</t>
  </si>
  <si>
    <t>10.81.101.122</t>
    <phoneticPr fontId="9" type="noConversion"/>
  </si>
  <si>
    <t>PEWEB05</t>
    <phoneticPr fontId="9" type="noConversion"/>
  </si>
  <si>
    <t>10.81.110.141</t>
  </si>
  <si>
    <t>10.81.101.141</t>
    <phoneticPr fontId="9" type="noConversion"/>
  </si>
  <si>
    <t>PVAPIWEB02</t>
    <phoneticPr fontId="9" type="noConversion"/>
  </si>
  <si>
    <t>10.81.110.62</t>
  </si>
  <si>
    <t>10.81.101.62</t>
    <phoneticPr fontId="9" type="noConversion"/>
  </si>
  <si>
    <t>PVFTP01</t>
    <phoneticPr fontId="9" type="noConversion"/>
  </si>
  <si>
    <t>10.81.110.41</t>
    <phoneticPr fontId="9" type="noConversion"/>
  </si>
  <si>
    <t>10.81.101.41</t>
    <phoneticPr fontId="9" type="noConversion"/>
  </si>
  <si>
    <t>PVWEB07</t>
    <phoneticPr fontId="9" type="noConversion"/>
  </si>
  <si>
    <t>10.81.110.231</t>
  </si>
  <si>
    <t>10.81.101.231</t>
    <phoneticPr fontId="9" type="noConversion"/>
  </si>
  <si>
    <t>Xen026</t>
  </si>
  <si>
    <t>10.81.30.26</t>
    <phoneticPr fontId="9" type="noConversion"/>
  </si>
  <si>
    <t>AE-08_15U</t>
    <phoneticPr fontId="9" type="noConversion"/>
  </si>
  <si>
    <t>110-3140401-0004-0000276</t>
    <phoneticPr fontId="9" type="noConversion"/>
  </si>
  <si>
    <t>PEFTP02</t>
    <phoneticPr fontId="9" type="noConversion"/>
  </si>
  <si>
    <t>10.81.110.152</t>
  </si>
  <si>
    <t>10.81.101.152</t>
    <phoneticPr fontId="9" type="noConversion"/>
  </si>
  <si>
    <t>PVFTP02</t>
    <phoneticPr fontId="9" type="noConversion"/>
  </si>
  <si>
    <t>10.81.110.42</t>
  </si>
  <si>
    <t>10.81.101.42</t>
    <phoneticPr fontId="9" type="noConversion"/>
  </si>
  <si>
    <t>PVWEB05</t>
    <phoneticPr fontId="9" type="noConversion"/>
  </si>
  <si>
    <t>10.81.110.31</t>
  </si>
  <si>
    <t>10.81.101.31</t>
    <phoneticPr fontId="9" type="noConversion"/>
  </si>
  <si>
    <t>PVWEB06</t>
    <phoneticPr fontId="9" type="noConversion"/>
  </si>
  <si>
    <t>10.81.110.32</t>
  </si>
  <si>
    <t>10.81.101.32</t>
    <phoneticPr fontId="9" type="noConversion"/>
  </si>
  <si>
    <t>PVWEBGE01</t>
    <phoneticPr fontId="9" type="noConversion"/>
  </si>
  <si>
    <t>10.81.110.162</t>
  </si>
  <si>
    <t>10.81.101.162</t>
    <phoneticPr fontId="9" type="noConversion"/>
  </si>
  <si>
    <t>Xen011</t>
    <phoneticPr fontId="9" type="noConversion"/>
  </si>
  <si>
    <t>10.81.30.11</t>
    <phoneticPr fontId="9" type="noConversion"/>
  </si>
  <si>
    <t>AE-07_25U</t>
    <phoneticPr fontId="9" type="noConversion"/>
  </si>
  <si>
    <t>110-3140401-0004-0000267</t>
    <phoneticPr fontId="9" type="noConversion"/>
  </si>
  <si>
    <t>IBM</t>
  </si>
  <si>
    <t>Xen027</t>
    <phoneticPr fontId="9" type="noConversion"/>
  </si>
  <si>
    <t>10.81.30.27</t>
    <phoneticPr fontId="9" type="noConversion"/>
  </si>
  <si>
    <t>AE-08_13U</t>
    <phoneticPr fontId="9" type="noConversion"/>
  </si>
  <si>
    <t>110-3140401-0004-0000277</t>
    <phoneticPr fontId="9" type="noConversion"/>
  </si>
  <si>
    <t>Xen028</t>
    <phoneticPr fontId="9" type="noConversion"/>
  </si>
  <si>
    <t>10.81.30.28</t>
    <phoneticPr fontId="9" type="noConversion"/>
  </si>
  <si>
    <t>AE-08_11U</t>
    <phoneticPr fontId="9" type="noConversion"/>
  </si>
  <si>
    <t>110-3140401-0004-0000278</t>
    <phoneticPr fontId="9" type="noConversion"/>
  </si>
  <si>
    <t>Xen036</t>
    <phoneticPr fontId="9" type="noConversion"/>
  </si>
  <si>
    <t>10.81.30.36</t>
    <phoneticPr fontId="9" type="noConversion"/>
  </si>
  <si>
    <t>AE-09_13U</t>
    <phoneticPr fontId="9" type="noConversion"/>
  </si>
  <si>
    <t>110-3140401-0004-0000284</t>
    <phoneticPr fontId="9" type="noConversion"/>
  </si>
  <si>
    <t>Xen037</t>
    <phoneticPr fontId="9" type="noConversion"/>
  </si>
  <si>
    <t>10.81.30.37</t>
    <phoneticPr fontId="9" type="noConversion"/>
  </si>
  <si>
    <t>AE-09_11U</t>
    <phoneticPr fontId="9" type="noConversion"/>
  </si>
  <si>
    <t>110-3140401-0004-0000285</t>
    <phoneticPr fontId="9" type="noConversion"/>
  </si>
  <si>
    <t>Xen045</t>
    <phoneticPr fontId="9" type="noConversion"/>
  </si>
  <si>
    <t>10.81.30.45</t>
    <phoneticPr fontId="9" type="noConversion"/>
  </si>
  <si>
    <t>AE-10_17U</t>
    <phoneticPr fontId="9" type="noConversion"/>
  </si>
  <si>
    <t>110-3140401-0004-0000286</t>
    <phoneticPr fontId="9" type="noConversion"/>
  </si>
  <si>
    <t>10.81.30.81</t>
    <phoneticPr fontId="9" type="noConversion"/>
  </si>
  <si>
    <t>Xen046</t>
    <phoneticPr fontId="9" type="noConversion"/>
  </si>
  <si>
    <t>10.81.30.46</t>
    <phoneticPr fontId="9" type="noConversion"/>
  </si>
  <si>
    <t>AE-10_15U</t>
    <phoneticPr fontId="9" type="noConversion"/>
  </si>
  <si>
    <t>110-3140401-0004-0000287</t>
    <phoneticPr fontId="9" type="noConversion"/>
  </si>
  <si>
    <t>Xen049</t>
    <phoneticPr fontId="9" type="noConversion"/>
  </si>
  <si>
    <t>10.81.30.49</t>
    <phoneticPr fontId="9" type="noConversion"/>
  </si>
  <si>
    <t>AE-10_7U</t>
    <phoneticPr fontId="9" type="noConversion"/>
  </si>
  <si>
    <t>110-3140401-0004-0000252</t>
    <phoneticPr fontId="9" type="noConversion"/>
  </si>
  <si>
    <t>Xen051</t>
    <phoneticPr fontId="9" type="noConversion"/>
  </si>
  <si>
    <t>10.81.30.51</t>
    <phoneticPr fontId="9" type="noConversion"/>
  </si>
  <si>
    <t>AE-11_23U</t>
    <phoneticPr fontId="9" type="noConversion"/>
  </si>
  <si>
    <t>110-3140401-0004-0000256</t>
    <phoneticPr fontId="9" type="noConversion"/>
  </si>
  <si>
    <t>Xen057</t>
    <phoneticPr fontId="9" type="noConversion"/>
  </si>
  <si>
    <t>10.81.30.57</t>
    <phoneticPr fontId="9" type="noConversion"/>
  </si>
  <si>
    <t>AE-11_11U</t>
    <phoneticPr fontId="9" type="noConversion"/>
  </si>
  <si>
    <t>110-3140401-0004-0000262</t>
    <phoneticPr fontId="9" type="noConversion"/>
  </si>
  <si>
    <t>AIX</t>
    <phoneticPr fontId="9" type="noConversion"/>
  </si>
  <si>
    <t>IBM-P770</t>
    <phoneticPr fontId="9" type="noConversion"/>
  </si>
  <si>
    <t>AC-04_26U</t>
    <phoneticPr fontId="9" type="noConversion"/>
  </si>
  <si>
    <t>110-3140401-0004-
0000291</t>
    <phoneticPr fontId="9" type="noConversion"/>
  </si>
  <si>
    <t>AC-05_26U</t>
    <phoneticPr fontId="9" type="noConversion"/>
  </si>
  <si>
    <t>110-3140401-0004-
0000292</t>
    <phoneticPr fontId="9" type="noConversion"/>
  </si>
  <si>
    <t>磁帶機</t>
    <phoneticPr fontId="9" type="noConversion"/>
  </si>
  <si>
    <t>TS3500</t>
    <phoneticPr fontId="9" type="noConversion"/>
  </si>
  <si>
    <t>AC-01</t>
    <phoneticPr fontId="9" type="noConversion"/>
  </si>
  <si>
    <t>110-5010303-0001-
0001925</t>
    <phoneticPr fontId="9" type="noConversion"/>
  </si>
  <si>
    <t>聯宏科技</t>
    <phoneticPr fontId="9" type="noConversion"/>
  </si>
  <si>
    <t>Saftnet HSM</t>
    <phoneticPr fontId="9" type="noConversion"/>
  </si>
  <si>
    <t>AC-02_40U</t>
    <phoneticPr fontId="9" type="noConversion"/>
  </si>
  <si>
    <t>110-3140402-0007-
0000009</t>
    <phoneticPr fontId="9" type="noConversion"/>
  </si>
  <si>
    <t>AC-02_37U</t>
    <phoneticPr fontId="9" type="noConversion"/>
  </si>
  <si>
    <t>110-3140402-0007-
0000008</t>
    <phoneticPr fontId="9" type="noConversion"/>
  </si>
  <si>
    <t>Juniper</t>
    <phoneticPr fontId="9" type="noConversion"/>
  </si>
  <si>
    <t>PJREX03</t>
    <phoneticPr fontId="9" type="noConversion"/>
  </si>
  <si>
    <t>EX4200-24T</t>
    <phoneticPr fontId="9" type="noConversion"/>
  </si>
  <si>
    <t>AC-02_35U</t>
    <phoneticPr fontId="9" type="noConversion"/>
  </si>
  <si>
    <t>110-3140401-0007-
0000169</t>
    <phoneticPr fontId="9" type="noConversion"/>
  </si>
  <si>
    <t>AC-02_34U</t>
    <phoneticPr fontId="9" type="noConversion"/>
  </si>
  <si>
    <t>110-3140401-0007-
0000170</t>
    <phoneticPr fontId="9" type="noConversion"/>
  </si>
  <si>
    <t>F5</t>
    <phoneticPr fontId="9" type="noConversion"/>
  </si>
  <si>
    <t>PF5LT01</t>
    <phoneticPr fontId="9" type="noConversion"/>
  </si>
  <si>
    <t>F5 3600</t>
    <phoneticPr fontId="9" type="noConversion"/>
  </si>
  <si>
    <t>AC-02_31U</t>
    <phoneticPr fontId="9" type="noConversion"/>
  </si>
  <si>
    <t>110-3140401-0007-
0000187</t>
    <phoneticPr fontId="9" type="noConversion"/>
  </si>
  <si>
    <t>PF5LT02</t>
    <phoneticPr fontId="9" type="noConversion"/>
  </si>
  <si>
    <t>AC-02_28U</t>
    <phoneticPr fontId="9" type="noConversion"/>
  </si>
  <si>
    <t>110-3140401-0007-
0000189</t>
    <phoneticPr fontId="9" type="noConversion"/>
  </si>
  <si>
    <t>PJREX04</t>
    <phoneticPr fontId="9" type="noConversion"/>
  </si>
  <si>
    <t>AC-02_27U</t>
    <phoneticPr fontId="9" type="noConversion"/>
  </si>
  <si>
    <t>110-3140401-0007-
0000171</t>
    <phoneticPr fontId="9" type="noConversion"/>
  </si>
  <si>
    <t>AC-02_26U</t>
    <phoneticPr fontId="9" type="noConversion"/>
  </si>
  <si>
    <t>110-3140401-0007-
0000172</t>
    <phoneticPr fontId="9" type="noConversion"/>
  </si>
  <si>
    <t>PF5GA01</t>
    <phoneticPr fontId="9" type="noConversion"/>
  </si>
  <si>
    <t>F5 6900</t>
    <phoneticPr fontId="9" type="noConversion"/>
  </si>
  <si>
    <t>AC-02_23U</t>
    <phoneticPr fontId="9" type="noConversion"/>
  </si>
  <si>
    <t>110-3140401-0007-
0000163</t>
    <phoneticPr fontId="9" type="noConversion"/>
  </si>
  <si>
    <t>PF5GA02</t>
    <phoneticPr fontId="9" type="noConversion"/>
  </si>
  <si>
    <t>AC-02_19U</t>
    <phoneticPr fontId="9" type="noConversion"/>
  </si>
  <si>
    <t>110-3140401-0007-
0000164</t>
    <phoneticPr fontId="9" type="noConversion"/>
  </si>
  <si>
    <t>Blue Coat</t>
    <phoneticPr fontId="9" type="noConversion"/>
  </si>
  <si>
    <t>PBCSG01</t>
    <phoneticPr fontId="9" type="noConversion"/>
  </si>
  <si>
    <t>SG9000-5</t>
    <phoneticPr fontId="9" type="noConversion"/>
  </si>
  <si>
    <t>AC-02_13U</t>
    <phoneticPr fontId="9" type="noConversion"/>
  </si>
  <si>
    <t>110-3140401-0007-
0000149</t>
    <phoneticPr fontId="9" type="noConversion"/>
  </si>
  <si>
    <t>PBCSG02</t>
    <phoneticPr fontId="9" type="noConversion"/>
  </si>
  <si>
    <t>AC-02_08U</t>
    <phoneticPr fontId="9" type="noConversion"/>
  </si>
  <si>
    <t>110-3140401-0007-
0000150</t>
    <phoneticPr fontId="9" type="noConversion"/>
  </si>
  <si>
    <t>PBCSG03</t>
    <phoneticPr fontId="9" type="noConversion"/>
  </si>
  <si>
    <t>AC-02_03U</t>
    <phoneticPr fontId="9" type="noConversion"/>
  </si>
  <si>
    <t>110-3140401-0007-
0000151</t>
    <phoneticPr fontId="9" type="noConversion"/>
  </si>
  <si>
    <t>PJREX05</t>
    <phoneticPr fontId="9" type="noConversion"/>
  </si>
  <si>
    <t>EX4200-48T</t>
    <phoneticPr fontId="9" type="noConversion"/>
  </si>
  <si>
    <t>AC-03_29U</t>
    <phoneticPr fontId="9" type="noConversion"/>
  </si>
  <si>
    <t>110-3140401-0007-
0000154</t>
    <phoneticPr fontId="9" type="noConversion"/>
  </si>
  <si>
    <t>AC-03_27U</t>
    <phoneticPr fontId="9" type="noConversion"/>
  </si>
  <si>
    <t>110-3140401-0007-
0000155</t>
    <phoneticPr fontId="9" type="noConversion"/>
  </si>
  <si>
    <t>KVM</t>
    <phoneticPr fontId="9" type="noConversion"/>
  </si>
  <si>
    <t>AC-03_25U</t>
    <phoneticPr fontId="9" type="noConversion"/>
  </si>
  <si>
    <t>110-3140101-0004-
0000009</t>
    <phoneticPr fontId="9" type="noConversion"/>
  </si>
  <si>
    <t>Gigamon</t>
    <phoneticPr fontId="9" type="noConversion"/>
  </si>
  <si>
    <t>PNKGM01</t>
    <phoneticPr fontId="9" type="noConversion"/>
  </si>
  <si>
    <t>VUE-212</t>
    <phoneticPr fontId="9" type="noConversion"/>
  </si>
  <si>
    <t>AC-03_21U</t>
    <phoneticPr fontId="9" type="noConversion"/>
  </si>
  <si>
    <t>110-3140402-0006-0000020</t>
    <phoneticPr fontId="9" type="noConversion"/>
  </si>
  <si>
    <t>ASUS</t>
    <phoneticPr fontId="9" type="noConversion"/>
  </si>
  <si>
    <t>PNKND01</t>
    <phoneticPr fontId="9" type="noConversion"/>
  </si>
  <si>
    <t>Niksun3110</t>
    <phoneticPr fontId="9" type="noConversion"/>
  </si>
  <si>
    <t>AC-03_20U</t>
    <phoneticPr fontId="9" type="noConversion"/>
  </si>
  <si>
    <t>PNKND02</t>
    <phoneticPr fontId="9" type="noConversion"/>
  </si>
  <si>
    <t>AC-03_19U</t>
    <phoneticPr fontId="9" type="noConversion"/>
  </si>
  <si>
    <t>FortiGate</t>
    <phoneticPr fontId="9" type="noConversion"/>
  </si>
  <si>
    <t>110C</t>
    <phoneticPr fontId="9" type="noConversion"/>
  </si>
  <si>
    <t>AC-03_16U</t>
    <phoneticPr fontId="9" type="noConversion"/>
  </si>
  <si>
    <t>80CM</t>
    <phoneticPr fontId="9" type="noConversion"/>
  </si>
  <si>
    <t>AC-03_15U</t>
    <phoneticPr fontId="9" type="noConversion"/>
  </si>
  <si>
    <t>110-3140402-0006-0000015</t>
    <phoneticPr fontId="9" type="noConversion"/>
  </si>
  <si>
    <t>iMPERVA</t>
    <phoneticPr fontId="9" type="noConversion"/>
  </si>
  <si>
    <t>M100</t>
    <phoneticPr fontId="9" type="noConversion"/>
  </si>
  <si>
    <t>AC-03_13U</t>
    <phoneticPr fontId="9" type="noConversion"/>
  </si>
  <si>
    <t>110-3140402-0006-0000027</t>
    <phoneticPr fontId="9" type="noConversion"/>
  </si>
  <si>
    <t>X2500</t>
    <phoneticPr fontId="9" type="noConversion"/>
  </si>
  <si>
    <t>AC-03_10U</t>
    <phoneticPr fontId="9" type="noConversion"/>
  </si>
  <si>
    <t>110-3140402-0006-0000016</t>
    <phoneticPr fontId="9" type="noConversion"/>
  </si>
  <si>
    <t>AC-03_18U</t>
    <phoneticPr fontId="9" type="noConversion"/>
  </si>
  <si>
    <t>110-3140402-0006-0000017</t>
    <phoneticPr fontId="9" type="noConversion"/>
  </si>
  <si>
    <t>Novell</t>
    <phoneticPr fontId="9" type="noConversion"/>
  </si>
  <si>
    <t>LM</t>
    <phoneticPr fontId="9" type="noConversion"/>
  </si>
  <si>
    <t>AC-03_05U</t>
    <phoneticPr fontId="9" type="noConversion"/>
  </si>
  <si>
    <t>110-3140402-0006-0000022</t>
    <phoneticPr fontId="9" type="noConversion"/>
  </si>
  <si>
    <t>AC-03_04U</t>
    <phoneticPr fontId="9" type="noConversion"/>
  </si>
  <si>
    <t>110-3140402-0006-0000023</t>
    <phoneticPr fontId="9" type="noConversion"/>
  </si>
  <si>
    <t>PJREX22</t>
    <phoneticPr fontId="9" type="noConversion"/>
  </si>
  <si>
    <t>AC-04_41U</t>
    <phoneticPr fontId="9" type="noConversion"/>
  </si>
  <si>
    <t>AC-04_40U</t>
    <phoneticPr fontId="9" type="noConversion"/>
  </si>
  <si>
    <t>110-3140401-0007-
0000183</t>
    <phoneticPr fontId="9" type="noConversion"/>
  </si>
  <si>
    <t>EX4200_24T</t>
    <phoneticPr fontId="9" type="noConversion"/>
  </si>
  <si>
    <t>AC-04_39U</t>
    <phoneticPr fontId="9" type="noConversion"/>
  </si>
  <si>
    <t>110-3140401-0007-
0000184</t>
    <phoneticPr fontId="9" type="noConversion"/>
  </si>
  <si>
    <t>PJREX21</t>
    <phoneticPr fontId="9" type="noConversion"/>
  </si>
  <si>
    <t>AC-05_41U</t>
    <phoneticPr fontId="9" type="noConversion"/>
  </si>
  <si>
    <t>AC-05_40U</t>
    <phoneticPr fontId="9" type="noConversion"/>
  </si>
  <si>
    <t>110-3140401-0007-
0000185</t>
    <phoneticPr fontId="9" type="noConversion"/>
  </si>
  <si>
    <t>AC-05_39U</t>
    <phoneticPr fontId="9" type="noConversion"/>
  </si>
  <si>
    <t>110-3140401-0007-
0000186</t>
    <phoneticPr fontId="9" type="noConversion"/>
  </si>
  <si>
    <t>NetApp</t>
    <phoneticPr fontId="9" type="noConversion"/>
  </si>
  <si>
    <t>FAS-6280-TP</t>
    <phoneticPr fontId="9" type="noConversion"/>
  </si>
  <si>
    <t>FAS6280</t>
    <phoneticPr fontId="9" type="noConversion"/>
  </si>
  <si>
    <t>AD-04_19U</t>
    <phoneticPr fontId="9" type="noConversion"/>
  </si>
  <si>
    <t>110-3140201-0002-
0000008</t>
    <phoneticPr fontId="9" type="noConversion"/>
  </si>
  <si>
    <t>FAS-6240-TP</t>
    <phoneticPr fontId="9" type="noConversion"/>
  </si>
  <si>
    <t>FAS6240</t>
    <phoneticPr fontId="9" type="noConversion"/>
  </si>
  <si>
    <t>AD-09_19U</t>
    <phoneticPr fontId="9" type="noConversion"/>
  </si>
  <si>
    <t>110-3140201-0002-
0000009</t>
    <phoneticPr fontId="9" type="noConversion"/>
  </si>
  <si>
    <t>Cisco</t>
    <phoneticPr fontId="9" type="noConversion"/>
  </si>
  <si>
    <t>N2K</t>
    <phoneticPr fontId="9" type="noConversion"/>
  </si>
  <si>
    <t>AD-03_39U</t>
    <phoneticPr fontId="9" type="noConversion"/>
  </si>
  <si>
    <t>AD-03_38U</t>
    <phoneticPr fontId="9" type="noConversion"/>
  </si>
  <si>
    <t>N5K</t>
    <phoneticPr fontId="9" type="noConversion"/>
  </si>
  <si>
    <t>AD-04_38U</t>
    <phoneticPr fontId="9" type="noConversion"/>
  </si>
  <si>
    <t>GX5008</t>
    <phoneticPr fontId="9" type="noConversion"/>
  </si>
  <si>
    <t>AD-12_38U</t>
    <phoneticPr fontId="9" type="noConversion"/>
  </si>
  <si>
    <t>110-3140402-0008-
0000012</t>
    <phoneticPr fontId="9" type="noConversion"/>
  </si>
  <si>
    <t>PJREX01</t>
    <phoneticPr fontId="9" type="noConversion"/>
  </si>
  <si>
    <t>AD-12_36U</t>
    <phoneticPr fontId="9" type="noConversion"/>
  </si>
  <si>
    <t>110-3140402-0007-
0000165</t>
    <phoneticPr fontId="9" type="noConversion"/>
  </si>
  <si>
    <t>AD-12_35U</t>
    <phoneticPr fontId="9" type="noConversion"/>
  </si>
  <si>
    <t>110-3140402-0007-
0000166</t>
    <phoneticPr fontId="9" type="noConversion"/>
  </si>
  <si>
    <t>專線DSU</t>
    <phoneticPr fontId="9" type="noConversion"/>
  </si>
  <si>
    <t>AD-12_32U</t>
    <phoneticPr fontId="9" type="noConversion"/>
  </si>
  <si>
    <t>AD-12_31U</t>
    <phoneticPr fontId="9" type="noConversion"/>
  </si>
  <si>
    <t>AD-12_30U</t>
    <phoneticPr fontId="9" type="noConversion"/>
  </si>
  <si>
    <t>PJRIS01</t>
    <phoneticPr fontId="9" type="noConversion"/>
  </si>
  <si>
    <t>ISG2000</t>
    <phoneticPr fontId="9" type="noConversion"/>
  </si>
  <si>
    <t>AD-12_26U</t>
    <phoneticPr fontId="9" type="noConversion"/>
  </si>
  <si>
    <t>110-3140401-0009-
0000152</t>
    <phoneticPr fontId="9" type="noConversion"/>
  </si>
  <si>
    <t>PF5LT03</t>
    <phoneticPr fontId="9" type="noConversion"/>
  </si>
  <si>
    <t>AD-12_24U</t>
    <phoneticPr fontId="9" type="noConversion"/>
  </si>
  <si>
    <t>110-3140401-0007-
0000190</t>
    <phoneticPr fontId="9" type="noConversion"/>
  </si>
  <si>
    <t>PJRSA01</t>
    <phoneticPr fontId="9" type="noConversion"/>
  </si>
  <si>
    <t>SA6500</t>
    <phoneticPr fontId="9" type="noConversion"/>
  </si>
  <si>
    <t>AD-12_21U</t>
    <phoneticPr fontId="9" type="noConversion"/>
  </si>
  <si>
    <t>110-3140401-0007-
0000147</t>
    <phoneticPr fontId="9" type="noConversion"/>
  </si>
  <si>
    <t>SRX210</t>
    <phoneticPr fontId="9" type="noConversion"/>
  </si>
  <si>
    <t>AD-12_19U</t>
    <phoneticPr fontId="9" type="noConversion"/>
  </si>
  <si>
    <t>110-3140403-0019-
0000294</t>
    <phoneticPr fontId="9" type="noConversion"/>
  </si>
  <si>
    <t>PJRMX01</t>
    <phoneticPr fontId="9" type="noConversion"/>
  </si>
  <si>
    <t>MX960</t>
    <phoneticPr fontId="9" type="noConversion"/>
  </si>
  <si>
    <t>AD-12_03U</t>
    <phoneticPr fontId="9" type="noConversion"/>
  </si>
  <si>
    <t>110-3140401-0007-
0000152</t>
    <phoneticPr fontId="9" type="noConversion"/>
  </si>
  <si>
    <t>AD-13_36U</t>
    <phoneticPr fontId="9" type="noConversion"/>
  </si>
  <si>
    <t>110-3140402-0006-
0000013</t>
    <phoneticPr fontId="9" type="noConversion"/>
  </si>
  <si>
    <t>PJREX02</t>
    <phoneticPr fontId="9" type="noConversion"/>
  </si>
  <si>
    <t>AD-13_34U</t>
    <phoneticPr fontId="9" type="noConversion"/>
  </si>
  <si>
    <t>110-3140401-0007-
0000167</t>
    <phoneticPr fontId="9" type="noConversion"/>
  </si>
  <si>
    <t>AD-13_33U</t>
    <phoneticPr fontId="9" type="noConversion"/>
  </si>
  <si>
    <t>110-3140401-0007-
0000168</t>
    <phoneticPr fontId="9" type="noConversion"/>
  </si>
  <si>
    <t>AD-13_31U</t>
    <phoneticPr fontId="9" type="noConversion"/>
  </si>
  <si>
    <t>110-3140403-0019-
0000013</t>
    <phoneticPr fontId="9" type="noConversion"/>
  </si>
  <si>
    <t>AD-13_30U</t>
    <phoneticPr fontId="9" type="noConversion"/>
  </si>
  <si>
    <t>110-3140403-0019-
0000014</t>
    <phoneticPr fontId="9" type="noConversion"/>
  </si>
  <si>
    <t>AD-13_29U</t>
    <phoneticPr fontId="9" type="noConversion"/>
  </si>
  <si>
    <t>110-3140403-0019-
0000015</t>
    <phoneticPr fontId="9" type="noConversion"/>
  </si>
  <si>
    <t>PJRIS02</t>
    <phoneticPr fontId="9" type="noConversion"/>
  </si>
  <si>
    <t>AD-13_26U</t>
    <phoneticPr fontId="9" type="noConversion"/>
  </si>
  <si>
    <t>110-3140401-0009-
0000153</t>
    <phoneticPr fontId="9" type="noConversion"/>
  </si>
  <si>
    <t>PF5LT04</t>
    <phoneticPr fontId="9" type="noConversion"/>
  </si>
  <si>
    <t>AD-13_24U</t>
    <phoneticPr fontId="9" type="noConversion"/>
  </si>
  <si>
    <t>110-3140401-0007-
0000191</t>
    <phoneticPr fontId="9" type="noConversion"/>
  </si>
  <si>
    <t>PJRSA02</t>
    <phoneticPr fontId="9" type="noConversion"/>
  </si>
  <si>
    <t>AD-13_21U</t>
    <phoneticPr fontId="9" type="noConversion"/>
  </si>
  <si>
    <t>110-3140401-0007-
0000148</t>
    <phoneticPr fontId="9" type="noConversion"/>
  </si>
  <si>
    <t>AD-13_19U</t>
    <phoneticPr fontId="9" type="noConversion"/>
  </si>
  <si>
    <t>110-3140403-0019-
0000295</t>
    <phoneticPr fontId="9" type="noConversion"/>
  </si>
  <si>
    <t>PJRMX02</t>
    <phoneticPr fontId="9" type="noConversion"/>
  </si>
  <si>
    <t>AD-13_3U</t>
    <phoneticPr fontId="9" type="noConversion"/>
  </si>
  <si>
    <t>110-3140401-0007-
0000153</t>
    <phoneticPr fontId="9" type="noConversion"/>
  </si>
  <si>
    <t>AC-02機櫃</t>
    <phoneticPr fontId="9" type="noConversion"/>
  </si>
  <si>
    <t>110-5010303-001A-
0000046</t>
    <phoneticPr fontId="9" type="noConversion"/>
  </si>
  <si>
    <t>AC-03機櫃</t>
  </si>
  <si>
    <t>110-5010303-001A-
0000047</t>
  </si>
  <si>
    <t>AC-04機櫃</t>
  </si>
  <si>
    <t>AC-05機櫃</t>
  </si>
  <si>
    <t>AD-01機櫃</t>
    <phoneticPr fontId="9" type="noConversion"/>
  </si>
  <si>
    <t>110-5010303-001A-
0000120</t>
    <phoneticPr fontId="9" type="noConversion"/>
  </si>
  <si>
    <t>AD-02機櫃</t>
  </si>
  <si>
    <t>110-5010303-001A-
0000121</t>
  </si>
  <si>
    <t>AD-03機櫃</t>
  </si>
  <si>
    <t>110-5010303-001A-
0000122</t>
  </si>
  <si>
    <t>AD-04機櫃</t>
  </si>
  <si>
    <t>110-5010303-001A-
0000123</t>
  </si>
  <si>
    <t>AD-05機櫃</t>
  </si>
  <si>
    <t>110-5010303-001A-
0000124</t>
  </si>
  <si>
    <t>AD-06機櫃</t>
  </si>
  <si>
    <t>110-5010303-001A-
0000125</t>
  </si>
  <si>
    <t>AD-07機櫃</t>
  </si>
  <si>
    <t>110-5010303-001A-
0000126</t>
  </si>
  <si>
    <t>AD-08機櫃</t>
  </si>
  <si>
    <t>110-5010303-001A-
0000127</t>
  </si>
  <si>
    <t>AD-09機櫃</t>
  </si>
  <si>
    <t>110-5010303-001A-
0000128</t>
  </si>
  <si>
    <t>AD-10機櫃</t>
  </si>
  <si>
    <t>110-5010303-001A-
0000129</t>
  </si>
  <si>
    <t>AD-11機櫃</t>
  </si>
  <si>
    <t>110-5010303-001A-
0000130</t>
  </si>
  <si>
    <t>AD-12機櫃</t>
  </si>
  <si>
    <t>110-5010303-001A-
0000131</t>
  </si>
  <si>
    <t>AD-13機櫃</t>
  </si>
  <si>
    <t>110-5010303-001A-
0000132</t>
  </si>
  <si>
    <t>AE-07機櫃</t>
    <phoneticPr fontId="9" type="noConversion"/>
  </si>
  <si>
    <t>110-5010303-001A-
0000053</t>
    <phoneticPr fontId="9" type="noConversion"/>
  </si>
  <si>
    <t>AE-08機櫃</t>
  </si>
  <si>
    <t>110-5010303-001A-
0000054</t>
  </si>
  <si>
    <t>AE-09機櫃</t>
  </si>
  <si>
    <t>110-5010303-001A-
0000055</t>
  </si>
  <si>
    <t>AE-10機櫃</t>
  </si>
  <si>
    <t>110-5010303-001A-
0000056</t>
  </si>
  <si>
    <t>AE-11機櫃</t>
  </si>
  <si>
    <t>110-5010303-001A-
0000057</t>
  </si>
  <si>
    <t>TSM Server01</t>
    <phoneticPr fontId="9" type="noConversion"/>
  </si>
  <si>
    <t>營運環境</t>
    <phoneticPr fontId="9" type="noConversion"/>
  </si>
  <si>
    <t>X3650M3</t>
    <phoneticPr fontId="9" type="noConversion"/>
  </si>
  <si>
    <t>AE-07_13U</t>
    <phoneticPr fontId="9" type="noConversion"/>
  </si>
  <si>
    <t>110-3140401-0004-0000265</t>
    <phoneticPr fontId="9" type="noConversion"/>
  </si>
  <si>
    <t>TSM Server02</t>
    <phoneticPr fontId="9" type="noConversion"/>
  </si>
  <si>
    <t>10.81.30.82</t>
    <phoneticPr fontId="9" type="noConversion"/>
  </si>
  <si>
    <t>AE-07_11U</t>
    <phoneticPr fontId="9" type="noConversion"/>
  </si>
  <si>
    <t>110-3140401-0004-0000266</t>
    <phoneticPr fontId="9" type="noConversion"/>
  </si>
  <si>
    <t>ppedr01</t>
    <phoneticPr fontId="9" type="noConversion"/>
  </si>
  <si>
    <t>10.81.10.51</t>
  </si>
  <si>
    <t>10.81.1.51</t>
  </si>
  <si>
    <t>AE-08_25U</t>
    <phoneticPr fontId="9" type="noConversion"/>
  </si>
  <si>
    <t>110-3140401-0004-0000263</t>
    <phoneticPr fontId="9" type="noConversion"/>
  </si>
  <si>
    <t>ppedr02</t>
    <phoneticPr fontId="9" type="noConversion"/>
  </si>
  <si>
    <t>10.81.10.52</t>
    <phoneticPr fontId="9" type="noConversion"/>
  </si>
  <si>
    <t>10.81.1.52</t>
    <phoneticPr fontId="9" type="noConversion"/>
  </si>
  <si>
    <t>AE-08_23U</t>
    <phoneticPr fontId="9" type="noConversion"/>
  </si>
  <si>
    <t>110-3140401-0004-0000264</t>
    <phoneticPr fontId="9" type="noConversion"/>
  </si>
  <si>
    <t>台中</t>
    <phoneticPr fontId="9" type="noConversion"/>
  </si>
  <si>
    <t>dxen023</t>
    <phoneticPr fontId="9" type="noConversion"/>
  </si>
  <si>
    <t>DMGT01</t>
    <phoneticPr fontId="9" type="noConversion"/>
  </si>
  <si>
    <t>備援區</t>
    <phoneticPr fontId="9" type="noConversion"/>
  </si>
  <si>
    <t>10.82.30.23</t>
    <phoneticPr fontId="9" type="noConversion"/>
  </si>
  <si>
    <t>APPSIGHT</t>
    <phoneticPr fontId="9" type="noConversion"/>
  </si>
  <si>
    <t>10.81.251.54</t>
    <phoneticPr fontId="9" type="noConversion"/>
  </si>
  <si>
    <t>BAO</t>
    <phoneticPr fontId="9" type="noConversion"/>
  </si>
  <si>
    <t>10.81.251.57</t>
    <phoneticPr fontId="9" type="noConversion"/>
  </si>
  <si>
    <t>10.82.30.10</t>
  </si>
  <si>
    <t>DFMOCR</t>
    <phoneticPr fontId="9" type="noConversion"/>
  </si>
  <si>
    <t>NA_Console</t>
    <phoneticPr fontId="9" type="noConversion"/>
  </si>
  <si>
    <t>10.82.30.56</t>
    <phoneticPr fontId="9" type="noConversion"/>
  </si>
  <si>
    <t>PPProxyE</t>
    <phoneticPr fontId="9" type="noConversion"/>
  </si>
  <si>
    <t>Win2008</t>
    <phoneticPr fontId="9" type="noConversion"/>
  </si>
  <si>
    <t>10.81.251.79</t>
    <phoneticPr fontId="9" type="noConversion"/>
  </si>
  <si>
    <t>dxen024</t>
  </si>
  <si>
    <t>10.82.30.24</t>
    <phoneticPr fontId="9" type="noConversion"/>
  </si>
  <si>
    <t>BBDSNA</t>
    <phoneticPr fontId="9" type="noConversion"/>
  </si>
  <si>
    <t>10.81.251.61</t>
    <phoneticPr fontId="9" type="noConversion"/>
  </si>
  <si>
    <t>BBDSSA</t>
    <phoneticPr fontId="9" type="noConversion"/>
  </si>
  <si>
    <t>10.81.251.60</t>
    <phoneticPr fontId="9" type="noConversion"/>
  </si>
  <si>
    <t>DBAO</t>
    <phoneticPr fontId="9" type="noConversion"/>
  </si>
  <si>
    <t>10.81.251.75</t>
    <phoneticPr fontId="9" type="noConversion"/>
  </si>
  <si>
    <t>DIBSP01</t>
    <phoneticPr fontId="9" type="noConversion"/>
  </si>
  <si>
    <t>DSYSC01</t>
    <phoneticPr fontId="9" type="noConversion"/>
  </si>
  <si>
    <t>N5K_Mgt</t>
    <phoneticPr fontId="9" type="noConversion"/>
  </si>
  <si>
    <t>10.81.30.83</t>
    <phoneticPr fontId="9" type="noConversion"/>
  </si>
  <si>
    <t>Old_ENTUITY</t>
    <phoneticPr fontId="9" type="noConversion"/>
  </si>
  <si>
    <t>10.81.251.69</t>
    <phoneticPr fontId="9" type="noConversion"/>
  </si>
  <si>
    <t>dxen025</t>
  </si>
  <si>
    <t>10.82.30.25</t>
    <phoneticPr fontId="9" type="noConversion"/>
  </si>
  <si>
    <t>BBNA</t>
    <phoneticPr fontId="9" type="noConversion"/>
  </si>
  <si>
    <t>10.81.251.59</t>
    <phoneticPr fontId="9" type="noConversion"/>
  </si>
  <si>
    <t>BCO</t>
    <phoneticPr fontId="9" type="noConversion"/>
  </si>
  <si>
    <t>10.81.251.62</t>
    <phoneticPr fontId="9" type="noConversion"/>
  </si>
  <si>
    <t>PATROL</t>
    <phoneticPr fontId="9" type="noConversion"/>
  </si>
  <si>
    <t>10.81.251.52</t>
    <phoneticPr fontId="9" type="noConversion"/>
  </si>
  <si>
    <t>PPProxyA</t>
    <phoneticPr fontId="9" type="noConversion"/>
  </si>
  <si>
    <t>10.81.251.73</t>
    <phoneticPr fontId="9" type="noConversion"/>
  </si>
  <si>
    <t>PPProxyC</t>
    <phoneticPr fontId="9" type="noConversion"/>
  </si>
  <si>
    <t>10.81.251.77</t>
    <phoneticPr fontId="9" type="noConversion"/>
  </si>
  <si>
    <t>PPProxyD</t>
    <phoneticPr fontId="9" type="noConversion"/>
  </si>
  <si>
    <t>10.81.251.78</t>
    <phoneticPr fontId="9" type="noConversion"/>
  </si>
  <si>
    <t>dxen036</t>
    <phoneticPr fontId="9" type="noConversion"/>
  </si>
  <si>
    <t>10.82.30.36</t>
    <phoneticPr fontId="9" type="noConversion"/>
  </si>
  <si>
    <t>BBSA2</t>
    <phoneticPr fontId="9" type="noConversion"/>
  </si>
  <si>
    <t>10.81.251.74</t>
    <phoneticPr fontId="9" type="noConversion"/>
  </si>
  <si>
    <t>DPXDM01</t>
    <phoneticPr fontId="9" type="noConversion"/>
  </si>
  <si>
    <t>10.82.32.21</t>
    <phoneticPr fontId="9" type="noConversion"/>
  </si>
  <si>
    <t>PPProxyB</t>
    <phoneticPr fontId="9" type="noConversion"/>
  </si>
  <si>
    <t>10.81.251.76</t>
    <phoneticPr fontId="9" type="noConversion"/>
  </si>
  <si>
    <t>PPProxyF</t>
    <phoneticPr fontId="9" type="noConversion"/>
  </si>
  <si>
    <t>10.81.251.80</t>
    <phoneticPr fontId="9" type="noConversion"/>
  </si>
  <si>
    <t>RH54_subver</t>
    <phoneticPr fontId="9" type="noConversion"/>
  </si>
  <si>
    <t>10.81.251.21</t>
    <phoneticPr fontId="9" type="noConversion"/>
  </si>
  <si>
    <t>dxen037</t>
    <phoneticPr fontId="9" type="noConversion"/>
  </si>
  <si>
    <t>10.82.30.37</t>
    <phoneticPr fontId="9" type="noConversion"/>
  </si>
  <si>
    <t>BMC_Oracle</t>
    <phoneticPr fontId="9" type="noConversion"/>
  </si>
  <si>
    <t>10.81.251.56</t>
    <phoneticPr fontId="9" type="noConversion"/>
  </si>
  <si>
    <t>BPPM2</t>
    <phoneticPr fontId="9" type="noConversion"/>
  </si>
  <si>
    <t>10.81.251.70</t>
    <phoneticPr fontId="9" type="noConversion"/>
  </si>
  <si>
    <t>Net_ENTUITY</t>
    <phoneticPr fontId="9" type="noConversion"/>
  </si>
  <si>
    <t>10.81.251.53</t>
    <phoneticPr fontId="9" type="noConversion"/>
  </si>
  <si>
    <t>dxen028</t>
    <phoneticPr fontId="9" type="noConversion"/>
  </si>
  <si>
    <t>DPAP01</t>
    <phoneticPr fontId="9" type="noConversion"/>
  </si>
  <si>
    <t>DPAP06</t>
    <phoneticPr fontId="9" type="noConversion"/>
  </si>
  <si>
    <t>10.82.11.36</t>
    <phoneticPr fontId="9" type="noConversion"/>
  </si>
  <si>
    <t>DPMP06</t>
    <phoneticPr fontId="9" type="noConversion"/>
  </si>
  <si>
    <t>10.82.11.96</t>
    <phoneticPr fontId="9" type="noConversion"/>
  </si>
  <si>
    <t>DPVA06</t>
    <phoneticPr fontId="9" type="noConversion"/>
  </si>
  <si>
    <t>10.82.11.66</t>
  </si>
  <si>
    <t>ETL</t>
    <phoneticPr fontId="9" type="noConversion"/>
  </si>
  <si>
    <t>dxen029</t>
    <phoneticPr fontId="9" type="noConversion"/>
  </si>
  <si>
    <t>10.82.30.29</t>
    <phoneticPr fontId="9" type="noConversion"/>
  </si>
  <si>
    <t>DPAP05</t>
    <phoneticPr fontId="9" type="noConversion"/>
  </si>
  <si>
    <t>10.82.11.35</t>
    <phoneticPr fontId="9" type="noConversion"/>
  </si>
  <si>
    <t>DPAP10</t>
    <phoneticPr fontId="9" type="noConversion"/>
  </si>
  <si>
    <t>10.82.11.40</t>
    <phoneticPr fontId="9" type="noConversion"/>
  </si>
  <si>
    <t>10.82.11.106</t>
    <phoneticPr fontId="9" type="noConversion"/>
  </si>
  <si>
    <t>10.82.11.95</t>
    <phoneticPr fontId="9" type="noConversion"/>
  </si>
  <si>
    <t>10.82.11.65</t>
    <phoneticPr fontId="9" type="noConversion"/>
  </si>
  <si>
    <t>ppapiap01</t>
    <phoneticPr fontId="9" type="noConversion"/>
  </si>
  <si>
    <t>10.82.11.57</t>
    <phoneticPr fontId="9" type="noConversion"/>
  </si>
  <si>
    <t>ppesb02</t>
    <phoneticPr fontId="9" type="noConversion"/>
  </si>
  <si>
    <t>10.82.11.42</t>
    <phoneticPr fontId="9" type="noConversion"/>
  </si>
  <si>
    <t>dxen030</t>
    <phoneticPr fontId="9" type="noConversion"/>
  </si>
  <si>
    <t>10.82.30.30</t>
    <phoneticPr fontId="9" type="noConversion"/>
  </si>
  <si>
    <t>DPAP04</t>
    <phoneticPr fontId="9" type="noConversion"/>
  </si>
  <si>
    <t>10.82.11.26</t>
    <phoneticPr fontId="9" type="noConversion"/>
  </si>
  <si>
    <t>DPAP09</t>
    <phoneticPr fontId="9" type="noConversion"/>
  </si>
  <si>
    <t>10.82.11.39</t>
    <phoneticPr fontId="9" type="noConversion"/>
  </si>
  <si>
    <t>10.82.11.51</t>
    <phoneticPr fontId="9" type="noConversion"/>
  </si>
  <si>
    <t>dpcf01</t>
    <phoneticPr fontId="9" type="noConversion"/>
  </si>
  <si>
    <t>10.82.11.107</t>
    <phoneticPr fontId="9" type="noConversion"/>
  </si>
  <si>
    <t>10.82.11.94</t>
    <phoneticPr fontId="9" type="noConversion"/>
  </si>
  <si>
    <t>10.82.11.64</t>
    <phoneticPr fontId="9" type="noConversion"/>
  </si>
  <si>
    <t>ppesb01</t>
    <phoneticPr fontId="9" type="noConversion"/>
  </si>
  <si>
    <t>10.82.11.41</t>
    <phoneticPr fontId="9" type="noConversion"/>
  </si>
  <si>
    <t>dxen038</t>
    <phoneticPr fontId="9" type="noConversion"/>
  </si>
  <si>
    <t>10.82.30.38</t>
    <phoneticPr fontId="9" type="noConversion"/>
  </si>
  <si>
    <t>DPAP03</t>
    <phoneticPr fontId="9" type="noConversion"/>
  </si>
  <si>
    <t>10.82.11.25</t>
    <phoneticPr fontId="9" type="noConversion"/>
  </si>
  <si>
    <t>DPAP08</t>
    <phoneticPr fontId="9" type="noConversion"/>
  </si>
  <si>
    <t>10.82.11.38</t>
    <phoneticPr fontId="9" type="noConversion"/>
  </si>
  <si>
    <t>DPDBR</t>
    <phoneticPr fontId="9" type="noConversion"/>
  </si>
  <si>
    <t>10.82.11.116</t>
    <phoneticPr fontId="9" type="noConversion"/>
  </si>
  <si>
    <t>10.82.11.93</t>
    <phoneticPr fontId="9" type="noConversion"/>
  </si>
  <si>
    <t>10.82.11.63</t>
    <phoneticPr fontId="9" type="noConversion"/>
  </si>
  <si>
    <t>10.82.11.68</t>
    <phoneticPr fontId="9" type="noConversion"/>
  </si>
  <si>
    <t>ppapiap02</t>
    <phoneticPr fontId="9" type="noConversion"/>
  </si>
  <si>
    <t>10.82.11.58</t>
    <phoneticPr fontId="9" type="noConversion"/>
  </si>
  <si>
    <t>dxen039</t>
    <phoneticPr fontId="9" type="noConversion"/>
  </si>
  <si>
    <t>10.82.30.39</t>
    <phoneticPr fontId="9" type="noConversion"/>
  </si>
  <si>
    <t>DPAP02</t>
    <phoneticPr fontId="9" type="noConversion"/>
  </si>
  <si>
    <t>10.82.11.16</t>
    <phoneticPr fontId="9" type="noConversion"/>
  </si>
  <si>
    <t>10.81.2.16</t>
    <phoneticPr fontId="9" type="noConversion"/>
  </si>
  <si>
    <t>10.82.11.56</t>
    <phoneticPr fontId="9" type="noConversion"/>
  </si>
  <si>
    <t>10.82.11.92</t>
    <phoneticPr fontId="9" type="noConversion"/>
  </si>
  <si>
    <t>10.82.11.62</t>
    <phoneticPr fontId="9" type="noConversion"/>
  </si>
  <si>
    <t>10.82.11.67</t>
    <phoneticPr fontId="9" type="noConversion"/>
  </si>
  <si>
    <t>dxen040</t>
  </si>
  <si>
    <t>10.82.30.40</t>
    <phoneticPr fontId="9" type="noConversion"/>
  </si>
  <si>
    <t>10.82.11.15</t>
    <phoneticPr fontId="9" type="noConversion"/>
  </si>
  <si>
    <t>DPAP07</t>
    <phoneticPr fontId="9" type="noConversion"/>
  </si>
  <si>
    <t>10.82.11.37</t>
    <phoneticPr fontId="9" type="noConversion"/>
  </si>
  <si>
    <t>10.82.11.91</t>
    <phoneticPr fontId="9" type="noConversion"/>
  </si>
  <si>
    <t>10.82.11.61</t>
    <phoneticPr fontId="9" type="noConversion"/>
  </si>
  <si>
    <t>dpva09</t>
    <phoneticPr fontId="9" type="noConversion"/>
  </si>
  <si>
    <t>10.82.11.81</t>
    <phoneticPr fontId="9" type="noConversion"/>
  </si>
  <si>
    <t>10.81.2.81</t>
    <phoneticPr fontId="9" type="noConversion"/>
  </si>
  <si>
    <t>10.82.11.10</t>
    <phoneticPr fontId="9" type="noConversion"/>
  </si>
  <si>
    <t>10.81.2.10</t>
    <phoneticPr fontId="9" type="noConversion"/>
  </si>
  <si>
    <t>dxen013</t>
    <phoneticPr fontId="9" type="noConversion"/>
  </si>
  <si>
    <t>DPWEB01</t>
    <phoneticPr fontId="9" type="noConversion"/>
  </si>
  <si>
    <t>10.82.30.13</t>
    <phoneticPr fontId="9" type="noConversion"/>
  </si>
  <si>
    <t>10.82.10.46</t>
    <phoneticPr fontId="9" type="noConversion"/>
  </si>
  <si>
    <t>dpftp05</t>
    <phoneticPr fontId="9" type="noConversion"/>
  </si>
  <si>
    <t>10.82.10.47</t>
    <phoneticPr fontId="9" type="noConversion"/>
  </si>
  <si>
    <t>WinSVR2008R2</t>
    <phoneticPr fontId="9" type="noConversion"/>
  </si>
  <si>
    <t>10.81.1.199</t>
    <phoneticPr fontId="9" type="noConversion"/>
  </si>
  <si>
    <t>dxen012</t>
    <phoneticPr fontId="9" type="noConversion"/>
  </si>
  <si>
    <t>10.82.30.12</t>
    <phoneticPr fontId="9" type="noConversion"/>
  </si>
  <si>
    <t>10.82.10.41</t>
    <phoneticPr fontId="9" type="noConversion"/>
  </si>
  <si>
    <t>dpweb05</t>
    <phoneticPr fontId="9" type="noConversion"/>
  </si>
  <si>
    <t>10.82.10.31</t>
    <phoneticPr fontId="9" type="noConversion"/>
  </si>
  <si>
    <t>ppweb03</t>
    <phoneticPr fontId="9" type="noConversion"/>
  </si>
  <si>
    <t>10.82.10.21</t>
    <phoneticPr fontId="9" type="noConversion"/>
  </si>
  <si>
    <t>Win2008_QC01</t>
    <phoneticPr fontId="9" type="noConversion"/>
  </si>
  <si>
    <t>10.82.10.121</t>
    <phoneticPr fontId="9" type="noConversion"/>
  </si>
  <si>
    <t>10.81.1.121</t>
    <phoneticPr fontId="9" type="noConversion"/>
  </si>
  <si>
    <t>dxen014</t>
    <phoneticPr fontId="9" type="noConversion"/>
  </si>
  <si>
    <t>10.82.30.14</t>
    <phoneticPr fontId="9" type="noConversion"/>
  </si>
  <si>
    <t>10.82.10.42</t>
    <phoneticPr fontId="9" type="noConversion"/>
  </si>
  <si>
    <t>dpweb06</t>
    <phoneticPr fontId="9" type="noConversion"/>
  </si>
  <si>
    <t>10.82.10.32</t>
    <phoneticPr fontId="9" type="noConversion"/>
  </si>
  <si>
    <t>ppapiweb01</t>
    <phoneticPr fontId="9" type="noConversion"/>
  </si>
  <si>
    <t>10.82.10.63</t>
    <phoneticPr fontId="9" type="noConversion"/>
  </si>
  <si>
    <t>ppapiweb02</t>
    <phoneticPr fontId="9" type="noConversion"/>
  </si>
  <si>
    <t>10.82.10.65</t>
    <phoneticPr fontId="9" type="noConversion"/>
  </si>
  <si>
    <t>ppweb04</t>
    <phoneticPr fontId="9" type="noConversion"/>
  </si>
  <si>
    <t>10.82.10.22</t>
    <phoneticPr fontId="9" type="noConversion"/>
  </si>
  <si>
    <t>Win2008_QC02</t>
    <phoneticPr fontId="9" type="noConversion"/>
  </si>
  <si>
    <t>10.82.10.122</t>
    <phoneticPr fontId="9" type="noConversion"/>
  </si>
  <si>
    <t>dxen015</t>
    <phoneticPr fontId="9" type="noConversion"/>
  </si>
  <si>
    <t>10.82.30.15</t>
    <phoneticPr fontId="9" type="noConversion"/>
  </si>
  <si>
    <t>10.82.10.45</t>
    <phoneticPr fontId="9" type="noConversion"/>
  </si>
  <si>
    <t>dpftp06</t>
    <phoneticPr fontId="9" type="noConversion"/>
  </si>
  <si>
    <t>10.82.10.48</t>
    <phoneticPr fontId="9" type="noConversion"/>
  </si>
  <si>
    <t>dpmail01</t>
    <phoneticPr fontId="9" type="noConversion"/>
  </si>
  <si>
    <t>10.82.10.71</t>
    <phoneticPr fontId="9" type="noConversion"/>
  </si>
  <si>
    <t>10.81.1.71</t>
    <phoneticPr fontId="9" type="noConversion"/>
  </si>
  <si>
    <t>dpmail02</t>
    <phoneticPr fontId="9" type="noConversion"/>
  </si>
  <si>
    <t>10.82.10.78</t>
    <phoneticPr fontId="9" type="noConversion"/>
  </si>
  <si>
    <t>ppweb05_pr02</t>
    <phoneticPr fontId="9" type="noConversion"/>
  </si>
  <si>
    <t>10.82.10.168</t>
    <phoneticPr fontId="9" type="noConversion"/>
  </si>
  <si>
    <t>10.81.1.168</t>
    <phoneticPr fontId="9" type="noConversion"/>
  </si>
  <si>
    <t>Win2008_QC03</t>
    <phoneticPr fontId="9" type="noConversion"/>
  </si>
  <si>
    <t>10.82.10.123</t>
    <phoneticPr fontId="9" type="noConversion"/>
  </si>
  <si>
    <t>10.81.1.123</t>
    <phoneticPr fontId="9" type="noConversion"/>
  </si>
  <si>
    <t>dxen018</t>
    <phoneticPr fontId="9" type="noConversion"/>
  </si>
  <si>
    <t>10.82.30.18</t>
    <phoneticPr fontId="9" type="noConversion"/>
  </si>
  <si>
    <t>ppweb05_pr01</t>
    <phoneticPr fontId="9" type="noConversion"/>
  </si>
  <si>
    <t>10.82.10.161</t>
    <phoneticPr fontId="9" type="noConversion"/>
  </si>
  <si>
    <t>10.81.1.161</t>
    <phoneticPr fontId="9" type="noConversion"/>
  </si>
  <si>
    <t>ppweb01</t>
    <phoneticPr fontId="9" type="noConversion"/>
  </si>
  <si>
    <t>10.82.10.11</t>
    <phoneticPr fontId="9" type="noConversion"/>
  </si>
  <si>
    <t>ppweb02</t>
    <phoneticPr fontId="9" type="noConversion"/>
  </si>
  <si>
    <t>10.82.10.12</t>
    <phoneticPr fontId="9" type="noConversion"/>
  </si>
  <si>
    <t>ppweb05-Master-Image</t>
    <phoneticPr fontId="9" type="noConversion"/>
  </si>
  <si>
    <t>Win2008_QC04</t>
    <phoneticPr fontId="9" type="noConversion"/>
  </si>
  <si>
    <t>10.82.10.124</t>
    <phoneticPr fontId="9" type="noConversion"/>
  </si>
  <si>
    <t>10.81.1.124</t>
    <phoneticPr fontId="9" type="noConversion"/>
  </si>
  <si>
    <t>dxen034</t>
    <phoneticPr fontId="9" type="noConversion"/>
  </si>
  <si>
    <t>DTDEV01</t>
    <phoneticPr fontId="9" type="noConversion"/>
  </si>
  <si>
    <t>開發區</t>
    <phoneticPr fontId="9" type="noConversion"/>
  </si>
  <si>
    <t>10.82.30.34</t>
    <phoneticPr fontId="9" type="noConversion"/>
  </si>
  <si>
    <t>dtesb01</t>
    <phoneticPr fontId="9" type="noConversion"/>
  </si>
  <si>
    <t>10.82.16.81</t>
    <phoneticPr fontId="9" type="noConversion"/>
  </si>
  <si>
    <t>10.82.151.81</t>
    <phoneticPr fontId="9" type="noConversion"/>
  </si>
  <si>
    <t>10.82.16.61</t>
    <phoneticPr fontId="9" type="noConversion"/>
  </si>
  <si>
    <t>10.82.151.61</t>
    <phoneticPr fontId="9" type="noConversion"/>
  </si>
  <si>
    <t>10.82.16.96</t>
    <phoneticPr fontId="9" type="noConversion"/>
  </si>
  <si>
    <t>10.82.151.96</t>
    <phoneticPr fontId="9" type="noConversion"/>
  </si>
  <si>
    <t>10.82.16.41</t>
    <phoneticPr fontId="9" type="noConversion"/>
  </si>
  <si>
    <t>10.82.151.41</t>
    <phoneticPr fontId="9" type="noConversion"/>
  </si>
  <si>
    <t>dtweb03</t>
    <phoneticPr fontId="9" type="noConversion"/>
  </si>
  <si>
    <t>10.82.16.51</t>
    <phoneticPr fontId="9" type="noConversion"/>
  </si>
  <si>
    <t>10.82.151.51</t>
    <phoneticPr fontId="9" type="noConversion"/>
  </si>
  <si>
    <t>dxen033</t>
    <phoneticPr fontId="9" type="noConversion"/>
  </si>
  <si>
    <t>10.82.30.33</t>
    <phoneticPr fontId="9" type="noConversion"/>
  </si>
  <si>
    <t>10.82.16.71</t>
    <phoneticPr fontId="9" type="noConversion"/>
  </si>
  <si>
    <t>10.82.151.71</t>
    <phoneticPr fontId="9" type="noConversion"/>
  </si>
  <si>
    <t>10.82.16.91</t>
    <phoneticPr fontId="9" type="noConversion"/>
  </si>
  <si>
    <t>10.82.151.91</t>
    <phoneticPr fontId="9" type="noConversion"/>
  </si>
  <si>
    <t>10.82.16.111</t>
    <phoneticPr fontId="9" type="noConversion"/>
  </si>
  <si>
    <t>10.82.151.111</t>
    <phoneticPr fontId="9" type="noConversion"/>
  </si>
  <si>
    <t>htap01</t>
    <phoneticPr fontId="9" type="noConversion"/>
  </si>
  <si>
    <t>10.82.16.171</t>
    <phoneticPr fontId="9" type="noConversion"/>
  </si>
  <si>
    <t>10.82.151.171</t>
    <phoneticPr fontId="9" type="noConversion"/>
  </si>
  <si>
    <t>ppcf01</t>
    <phoneticPr fontId="9" type="noConversion"/>
  </si>
  <si>
    <t>10.82.16.121</t>
    <phoneticPr fontId="9" type="noConversion"/>
  </si>
  <si>
    <t>10.82.151.121</t>
    <phoneticPr fontId="9" type="noConversion"/>
  </si>
  <si>
    <t>dxen035</t>
    <phoneticPr fontId="9" type="noConversion"/>
  </si>
  <si>
    <t>10.82.30.35</t>
    <phoneticPr fontId="9" type="noConversion"/>
  </si>
  <si>
    <t>10.82.16.72</t>
    <phoneticPr fontId="9" type="noConversion"/>
  </si>
  <si>
    <t>10.82.151.72</t>
    <phoneticPr fontId="9" type="noConversion"/>
  </si>
  <si>
    <t>10.82.16.31</t>
    <phoneticPr fontId="9" type="noConversion"/>
  </si>
  <si>
    <t>10.82.151.31</t>
    <phoneticPr fontId="9" type="noConversion"/>
  </si>
  <si>
    <t>dtwebge01</t>
    <phoneticPr fontId="9" type="noConversion"/>
  </si>
  <si>
    <t>10.82.16.122</t>
    <phoneticPr fontId="9" type="noConversion"/>
  </si>
  <si>
    <t>10.82.151.122</t>
    <phoneticPr fontId="9" type="noConversion"/>
  </si>
  <si>
    <t>dxen011</t>
    <phoneticPr fontId="9" type="noConversion"/>
  </si>
  <si>
    <t>dxen016</t>
    <phoneticPr fontId="9" type="noConversion"/>
  </si>
  <si>
    <t>10.82.30.16</t>
    <phoneticPr fontId="9" type="noConversion"/>
  </si>
  <si>
    <t>dxen017</t>
    <phoneticPr fontId="9" type="noConversion"/>
  </si>
  <si>
    <t>10.82.30.17</t>
    <phoneticPr fontId="9" type="noConversion"/>
  </si>
  <si>
    <t>dxen019</t>
    <phoneticPr fontId="9" type="noConversion"/>
  </si>
  <si>
    <t>10.82.30.19</t>
    <phoneticPr fontId="9" type="noConversion"/>
  </si>
  <si>
    <t>dxen020</t>
    <phoneticPr fontId="9" type="noConversion"/>
  </si>
  <si>
    <t>10.82.30.20</t>
    <phoneticPr fontId="9" type="noConversion"/>
  </si>
  <si>
    <t>ens_srv:10.193.136.239
ens_mgt:10.253.173.239
ens_bak:10.193.26.239
ens_nfs:10.193.36.239</t>
    <phoneticPr fontId="9" type="noConversion"/>
  </si>
  <si>
    <t>ens_srv:10.193.136.11</t>
    <phoneticPr fontId="9" type="noConversion"/>
  </si>
  <si>
    <t>ens_srv:10.252.205.11</t>
    <phoneticPr fontId="9" type="noConversion"/>
  </si>
  <si>
    <t>ens_srv:10.193.136.18</t>
    <phoneticPr fontId="9" type="noConversion"/>
  </si>
  <si>
    <t>ens_srv:10.193.136.12</t>
  </si>
  <si>
    <t>ens_srv:10.193.136.13</t>
    <phoneticPr fontId="9" type="noConversion"/>
  </si>
  <si>
    <t>ens_srv:10.193.136.14</t>
    <phoneticPr fontId="9" type="noConversion"/>
  </si>
  <si>
    <t>ens_srv:10.193.136.15</t>
    <phoneticPr fontId="9" type="noConversion"/>
  </si>
  <si>
    <t>ens_srv:10.193.136.16</t>
    <phoneticPr fontId="9" type="noConversion"/>
  </si>
  <si>
    <t>ens_srv:10.193.136.17</t>
    <phoneticPr fontId="9" type="noConversion"/>
  </si>
  <si>
    <t>STMADS08</t>
    <phoneticPr fontId="9" type="noConversion"/>
  </si>
  <si>
    <t>北國整測AD(DNS)供帳號整合開發使用</t>
    <phoneticPr fontId="9" type="noConversion"/>
  </si>
  <si>
    <t>北區整測AD(DNS)供帳號整合開發使用</t>
    <phoneticPr fontId="9" type="noConversion"/>
  </si>
  <si>
    <t>中區整測AD(DNS)供帳號整合開發使用</t>
    <phoneticPr fontId="9" type="noConversion"/>
  </si>
  <si>
    <t>南區整測AD(DNS)供帳號整合開發使用</t>
    <phoneticPr fontId="9" type="noConversion"/>
  </si>
  <si>
    <t>高國整測AD(DNS)供帳號整合開發使用</t>
    <phoneticPr fontId="9" type="noConversion"/>
  </si>
  <si>
    <t>中心1整測AD(DNS)供帳號整合開發使用</t>
    <phoneticPr fontId="9" type="noConversion"/>
  </si>
  <si>
    <t>中心2整測AD(DNS)供帳號整合開發使用</t>
    <phoneticPr fontId="9" type="noConversion"/>
  </si>
  <si>
    <t>中心甲測驗證AD(DNS)供帳號整合開發使用</t>
    <phoneticPr fontId="9" type="noConversion"/>
  </si>
  <si>
    <t>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</si>
</sst>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%_ ;[Red]\8\5.00%"/>
    <numFmt numFmtId="177" formatCode="0.0"/>
  </numFmts>
  <fonts count="49" x14ac:knownFonts="1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1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rgb="FF000000"/>
      <name val="標楷體"/>
      <family val="4"/>
      <charset val="136"/>
    </font>
    <font>
      <sz val="11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b/>
      <sz val="1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</font>
    <font>
      <sz val="14"/>
      <color rgb="FF000000"/>
      <name val="標楷體"/>
      <family val="4"/>
      <charset val="136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1"/>
      <name val="新細明體"/>
      <family val="1"/>
      <charset val="136"/>
    </font>
    <font>
      <sz val="11"/>
      <color rgb="FFFF0000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11"/>
      <color rgb="FFFF0000"/>
      <name val="標楷體"/>
      <family val="4"/>
      <charset val="136"/>
    </font>
    <font>
      <sz val="11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2630">
    <xf numFmtId="0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23" fillId="0" borderId="0"/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5" fillId="0" borderId="0" applyNumberFormat="0" applyFill="0" applyBorder="0" applyProtection="0">
      <alignment vertical="center"/>
    </xf>
  </cellStyleXfs>
  <cellXfs count="195">
    <xf numFmtId="0" fontId="0" fillId="0" borderId="0" xfId="0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0" fillId="0" borderId="1" xfId="0" applyFont="1" applyBorder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0" fillId="0" borderId="0" xfId="0" applyAlignment="1"/>
    <xf numFmtId="0" fontId="12" fillId="5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10" fontId="12" fillId="5" borderId="5" xfId="0" applyNumberFormat="1" applyFont="1" applyFill="1" applyBorder="1" applyAlignment="1">
      <alignment horizontal="center" vertical="center" wrapText="1"/>
    </xf>
    <xf numFmtId="176" fontId="12" fillId="5" borderId="5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0" borderId="1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vertical="center" wrapText="1"/>
    </xf>
    <xf numFmtId="3" fontId="12" fillId="5" borderId="1" xfId="0" applyNumberFormat="1" applyFont="1" applyFill="1" applyBorder="1" applyAlignment="1">
      <alignment horizontal="left" vertical="center" wrapText="1"/>
    </xf>
    <xf numFmtId="3" fontId="12" fillId="5" borderId="1" xfId="0" applyNumberFormat="1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vertical="center" wrapText="1"/>
    </xf>
    <xf numFmtId="0" fontId="30" fillId="0" borderId="8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0" fillId="0" borderId="0" xfId="0" applyAlignment="1">
      <alignment vertical="center" wrapText="1"/>
    </xf>
    <xf numFmtId="0" fontId="25" fillId="4" borderId="2" xfId="0" applyFont="1" applyFill="1" applyBorder="1" applyAlignment="1">
      <alignment vertical="center" wrapText="1"/>
    </xf>
    <xf numFmtId="0" fontId="25" fillId="4" borderId="6" xfId="0" applyFont="1" applyFill="1" applyBorder="1" applyAlignment="1">
      <alignment vertical="center" wrapText="1"/>
    </xf>
    <xf numFmtId="0" fontId="25" fillId="4" borderId="7" xfId="0" applyFont="1" applyFill="1" applyBorder="1" applyAlignment="1">
      <alignment vertical="center" wrapText="1"/>
    </xf>
    <xf numFmtId="0" fontId="29" fillId="0" borderId="11" xfId="0" applyFont="1" applyBorder="1" applyAlignment="1">
      <alignment horizontal="left" vertical="center" wrapText="1"/>
    </xf>
    <xf numFmtId="0" fontId="28" fillId="7" borderId="8" xfId="0" applyFont="1" applyFill="1" applyBorder="1" applyAlignment="1">
      <alignment horizontal="center" vertical="center" wrapText="1"/>
    </xf>
    <xf numFmtId="0" fontId="31" fillId="0" borderId="13" xfId="0" applyFont="1" applyBorder="1">
      <alignment vertical="center"/>
    </xf>
    <xf numFmtId="0" fontId="31" fillId="0" borderId="14" xfId="0" applyFont="1" applyBorder="1">
      <alignment vertical="center"/>
    </xf>
    <xf numFmtId="0" fontId="31" fillId="0" borderId="15" xfId="0" applyFont="1" applyBorder="1">
      <alignment vertical="center"/>
    </xf>
    <xf numFmtId="0" fontId="28" fillId="7" borderId="11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vertical="center" wrapText="1"/>
    </xf>
    <xf numFmtId="14" fontId="20" fillId="0" borderId="1" xfId="0" applyNumberFormat="1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34" fillId="0" borderId="0" xfId="0" applyFont="1">
      <alignment vertical="center"/>
    </xf>
    <xf numFmtId="0" fontId="35" fillId="4" borderId="12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7" fillId="0" borderId="0" xfId="0" applyFont="1" applyAlignment="1">
      <alignment vertical="center" wrapText="1"/>
    </xf>
    <xf numFmtId="0" fontId="3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 wrapText="1"/>
    </xf>
    <xf numFmtId="0" fontId="35" fillId="6" borderId="12" xfId="0" applyFont="1" applyFill="1" applyBorder="1" applyAlignment="1">
      <alignment horizontal="center" vertical="center"/>
    </xf>
    <xf numFmtId="0" fontId="39" fillId="4" borderId="12" xfId="0" applyFont="1" applyFill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8" borderId="12" xfId="0" applyFont="1" applyFill="1" applyBorder="1" applyAlignment="1">
      <alignment horizontal="left" vertical="center"/>
    </xf>
    <xf numFmtId="0" fontId="39" fillId="9" borderId="12" xfId="0" applyFont="1" applyFill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10" borderId="12" xfId="0" applyFont="1" applyFill="1" applyBorder="1" applyAlignment="1">
      <alignment horizontal="left" vertical="center"/>
    </xf>
    <xf numFmtId="0" fontId="0" fillId="0" borderId="18" xfId="0" applyBorder="1">
      <alignment vertical="center"/>
    </xf>
    <xf numFmtId="0" fontId="0" fillId="0" borderId="3" xfId="0" applyBorder="1">
      <alignment vertical="center"/>
    </xf>
    <xf numFmtId="0" fontId="41" fillId="0" borderId="1" xfId="0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41" fillId="0" borderId="4" xfId="0" applyFont="1" applyBorder="1" applyAlignment="1">
      <alignment vertical="center" wrapText="1"/>
    </xf>
    <xf numFmtId="0" fontId="41" fillId="0" borderId="19" xfId="0" applyFont="1" applyBorder="1" applyAlignment="1">
      <alignment vertical="center" wrapText="1"/>
    </xf>
    <xf numFmtId="0" fontId="41" fillId="0" borderId="1" xfId="0" applyFont="1" applyBorder="1">
      <alignment vertical="center"/>
    </xf>
    <xf numFmtId="0" fontId="41" fillId="0" borderId="4" xfId="0" applyFont="1" applyBorder="1">
      <alignment vertical="center"/>
    </xf>
    <xf numFmtId="0" fontId="42" fillId="0" borderId="1" xfId="0" applyFont="1" applyBorder="1">
      <alignment vertical="center"/>
    </xf>
    <xf numFmtId="0" fontId="42" fillId="0" borderId="1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42" fillId="0" borderId="18" xfId="0" applyFont="1" applyBorder="1">
      <alignment vertical="center"/>
    </xf>
    <xf numFmtId="0" fontId="42" fillId="0" borderId="3" xfId="0" applyFont="1" applyBorder="1">
      <alignment vertical="center"/>
    </xf>
    <xf numFmtId="0" fontId="42" fillId="0" borderId="20" xfId="0" applyFont="1" applyBorder="1">
      <alignment vertical="center"/>
    </xf>
    <xf numFmtId="0" fontId="42" fillId="0" borderId="21" xfId="0" applyFont="1" applyBorder="1">
      <alignment vertical="center"/>
    </xf>
    <xf numFmtId="0" fontId="0" fillId="0" borderId="22" xfId="0" applyBorder="1">
      <alignment vertical="center"/>
    </xf>
    <xf numFmtId="177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right" vertical="center" wrapText="1"/>
    </xf>
    <xf numFmtId="0" fontId="43" fillId="0" borderId="1" xfId="0" applyFont="1" applyBorder="1">
      <alignment vertical="center"/>
    </xf>
    <xf numFmtId="0" fontId="43" fillId="0" borderId="4" xfId="0" applyFont="1" applyBorder="1">
      <alignment vertical="center"/>
    </xf>
    <xf numFmtId="0" fontId="43" fillId="0" borderId="1" xfId="0" applyFont="1" applyBorder="1" applyAlignment="1">
      <alignment vertical="center" wrapText="1"/>
    </xf>
    <xf numFmtId="0" fontId="43" fillId="0" borderId="7" xfId="0" applyFont="1" applyBorder="1" applyAlignment="1">
      <alignment vertical="center" wrapText="1"/>
    </xf>
    <xf numFmtId="0" fontId="43" fillId="0" borderId="7" xfId="0" applyFont="1" applyBorder="1">
      <alignment vertical="center"/>
    </xf>
    <xf numFmtId="0" fontId="43" fillId="0" borderId="4" xfId="0" applyFont="1" applyBorder="1" applyAlignment="1">
      <alignment vertical="center" wrapText="1"/>
    </xf>
    <xf numFmtId="0" fontId="43" fillId="0" borderId="19" xfId="0" applyFont="1" applyBorder="1" applyAlignment="1">
      <alignment vertical="center" wrapText="1"/>
    </xf>
    <xf numFmtId="0" fontId="43" fillId="0" borderId="19" xfId="0" applyFont="1" applyBorder="1">
      <alignment vertical="center"/>
    </xf>
    <xf numFmtId="0" fontId="44" fillId="0" borderId="1" xfId="0" applyFont="1" applyBorder="1" applyAlignment="1">
      <alignment horizontal="left" vertical="center" wrapText="1"/>
    </xf>
    <xf numFmtId="0" fontId="29" fillId="0" borderId="9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0" borderId="7" xfId="0" applyFont="1" applyBorder="1">
      <alignment vertical="center"/>
    </xf>
    <xf numFmtId="0" fontId="41" fillId="0" borderId="7" xfId="0" applyFont="1" applyBorder="1" applyAlignment="1">
      <alignment horizontal="center" vertical="center"/>
    </xf>
    <xf numFmtId="0" fontId="41" fillId="0" borderId="19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41" fillId="0" borderId="19" xfId="0" applyFont="1" applyBorder="1" applyAlignment="1">
      <alignment horizontal="center" vertical="center"/>
    </xf>
    <xf numFmtId="3" fontId="41" fillId="0" borderId="19" xfId="0" applyNumberFormat="1" applyFont="1" applyBorder="1">
      <alignment vertical="center"/>
    </xf>
    <xf numFmtId="0" fontId="20" fillId="0" borderId="1" xfId="0" applyFont="1" applyBorder="1" applyAlignment="1">
      <alignment horizontal="right" vertical="center"/>
    </xf>
    <xf numFmtId="0" fontId="26" fillId="0" borderId="0" xfId="0" applyFont="1">
      <alignment vertical="center"/>
    </xf>
    <xf numFmtId="0" fontId="20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right" vertical="center" wrapText="1"/>
    </xf>
    <xf numFmtId="0" fontId="41" fillId="4" borderId="19" xfId="0" applyFont="1" applyFill="1" applyBorder="1" applyAlignment="1">
      <alignment vertical="center" wrapText="1"/>
    </xf>
    <xf numFmtId="0" fontId="44" fillId="4" borderId="1" xfId="0" applyFont="1" applyFill="1" applyBorder="1" applyAlignment="1">
      <alignment horizontal="left" vertical="center" wrapText="1"/>
    </xf>
    <xf numFmtId="0" fontId="44" fillId="4" borderId="1" xfId="0" applyFont="1" applyFill="1" applyBorder="1" applyAlignment="1">
      <alignment horizontal="right" vertical="center" wrapText="1"/>
    </xf>
    <xf numFmtId="0" fontId="46" fillId="4" borderId="19" xfId="0" applyFont="1" applyFill="1" applyBorder="1" applyAlignment="1">
      <alignment vertical="center" wrapText="1"/>
    </xf>
    <xf numFmtId="0" fontId="47" fillId="0" borderId="0" xfId="0" applyFont="1" applyAlignment="1">
      <alignment vertical="center" wrapText="1"/>
    </xf>
    <xf numFmtId="0" fontId="48" fillId="4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42" fillId="0" borderId="0" xfId="0" applyFont="1">
      <alignment vertical="center"/>
    </xf>
    <xf numFmtId="0" fontId="42" fillId="0" borderId="23" xfId="0" applyFont="1" applyBorder="1">
      <alignment vertical="center"/>
    </xf>
    <xf numFmtId="0" fontId="42" fillId="0" borderId="7" xfId="0" applyFont="1" applyBorder="1">
      <alignment vertical="center"/>
    </xf>
    <xf numFmtId="0" fontId="12" fillId="0" borderId="0" xfId="0" applyFont="1" applyAlignment="1">
      <alignment horizontal="righ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2" fillId="4" borderId="0" xfId="0" applyFont="1" applyFill="1" applyAlignment="1">
      <alignment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right" vertical="center" wrapText="1"/>
    </xf>
    <xf numFmtId="0" fontId="41" fillId="11" borderId="19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horizontal="left" vertical="center" wrapText="1"/>
    </xf>
    <xf numFmtId="0" fontId="48" fillId="11" borderId="1" xfId="0" applyFont="1" applyFill="1" applyBorder="1" applyAlignment="1">
      <alignment horizontal="left" vertical="center" wrapText="1"/>
    </xf>
    <xf numFmtId="0" fontId="41" fillId="0" borderId="3" xfId="0" applyFont="1" applyBorder="1">
      <alignment vertical="center"/>
    </xf>
    <xf numFmtId="0" fontId="41" fillId="0" borderId="4" xfId="0" applyFont="1" applyBorder="1">
      <alignment vertical="center"/>
    </xf>
    <xf numFmtId="0" fontId="41" fillId="0" borderId="5" xfId="0" applyFont="1" applyBorder="1">
      <alignment vertical="center"/>
    </xf>
    <xf numFmtId="0" fontId="29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9" fillId="0" borderId="9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31" fillId="0" borderId="13" xfId="0" applyFont="1" applyBorder="1">
      <alignment vertical="center"/>
    </xf>
    <xf numFmtId="0" fontId="31" fillId="0" borderId="14" xfId="0" applyFont="1" applyBorder="1">
      <alignment vertical="center"/>
    </xf>
    <xf numFmtId="0" fontId="31" fillId="0" borderId="15" xfId="0" applyFont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2" fillId="4" borderId="17" xfId="0" applyFont="1" applyFill="1" applyBorder="1" applyAlignment="1">
      <alignment horizontal="left" vertical="center" wrapText="1"/>
    </xf>
    <xf numFmtId="0" fontId="32" fillId="4" borderId="0" xfId="0" applyFont="1" applyFill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</cellXfs>
  <cellStyles count="2630">
    <cellStyle name="一般" xfId="0" builtinId="0"/>
    <cellStyle name="一般 2" xfId="1" xr:uid="{00000000-0005-0000-0000-000001000000}"/>
    <cellStyle name="一般 2 10" xfId="78" xr:uid="{00000000-0005-0000-0000-000002000000}"/>
    <cellStyle name="一般 2 10 2" xfId="204" xr:uid="{00000000-0005-0000-0000-000003000000}"/>
    <cellStyle name="一般 2 10 2 2" xfId="465" xr:uid="{00000000-0005-0000-0000-000004000000}"/>
    <cellStyle name="一般 2 10 2 2 2" xfId="1515" xr:uid="{00000000-0005-0000-0000-000005000000}"/>
    <cellStyle name="一般 2 10 2 2 3" xfId="990" xr:uid="{00000000-0005-0000-0000-000006000000}"/>
    <cellStyle name="一般 2 10 2 2 4" xfId="2040" xr:uid="{00000000-0005-0000-0000-000007000000}"/>
    <cellStyle name="一般 2 10 2 2 5" xfId="2565" xr:uid="{00000000-0005-0000-0000-000008000000}"/>
    <cellStyle name="一般 2 10 2 3" xfId="1254" xr:uid="{00000000-0005-0000-0000-000009000000}"/>
    <cellStyle name="一般 2 10 2 4" xfId="729" xr:uid="{00000000-0005-0000-0000-00000A000000}"/>
    <cellStyle name="一般 2 10 2 5" xfId="1779" xr:uid="{00000000-0005-0000-0000-00000B000000}"/>
    <cellStyle name="一般 2 10 2 6" xfId="2304" xr:uid="{00000000-0005-0000-0000-00000C000000}"/>
    <cellStyle name="一般 2 10 3" xfId="339" xr:uid="{00000000-0005-0000-0000-00000D000000}"/>
    <cellStyle name="一般 2 10 3 2" xfId="1389" xr:uid="{00000000-0005-0000-0000-00000E000000}"/>
    <cellStyle name="一般 2 10 3 3" xfId="864" xr:uid="{00000000-0005-0000-0000-00000F000000}"/>
    <cellStyle name="一般 2 10 3 4" xfId="1914" xr:uid="{00000000-0005-0000-0000-000010000000}"/>
    <cellStyle name="一般 2 10 3 5" xfId="2439" xr:uid="{00000000-0005-0000-0000-000011000000}"/>
    <cellStyle name="一般 2 10 4" xfId="1128" xr:uid="{00000000-0005-0000-0000-000012000000}"/>
    <cellStyle name="一般 2 10 5" xfId="603" xr:uid="{00000000-0005-0000-0000-000013000000}"/>
    <cellStyle name="一般 2 10 6" xfId="1653" xr:uid="{00000000-0005-0000-0000-000014000000}"/>
    <cellStyle name="一般 2 10 7" xfId="2178" xr:uid="{00000000-0005-0000-0000-000015000000}"/>
    <cellStyle name="一般 2 11" xfId="87" xr:uid="{00000000-0005-0000-0000-000016000000}"/>
    <cellStyle name="一般 2 11 2" xfId="213" xr:uid="{00000000-0005-0000-0000-000017000000}"/>
    <cellStyle name="一般 2 11 2 2" xfId="474" xr:uid="{00000000-0005-0000-0000-000018000000}"/>
    <cellStyle name="一般 2 11 2 2 2" xfId="1524" xr:uid="{00000000-0005-0000-0000-000019000000}"/>
    <cellStyle name="一般 2 11 2 2 3" xfId="999" xr:uid="{00000000-0005-0000-0000-00001A000000}"/>
    <cellStyle name="一般 2 11 2 2 4" xfId="2049" xr:uid="{00000000-0005-0000-0000-00001B000000}"/>
    <cellStyle name="一般 2 11 2 2 5" xfId="2574" xr:uid="{00000000-0005-0000-0000-00001C000000}"/>
    <cellStyle name="一般 2 11 2 3" xfId="1263" xr:uid="{00000000-0005-0000-0000-00001D000000}"/>
    <cellStyle name="一般 2 11 2 4" xfId="738" xr:uid="{00000000-0005-0000-0000-00001E000000}"/>
    <cellStyle name="一般 2 11 2 5" xfId="1788" xr:uid="{00000000-0005-0000-0000-00001F000000}"/>
    <cellStyle name="一般 2 11 2 6" xfId="2313" xr:uid="{00000000-0005-0000-0000-000020000000}"/>
    <cellStyle name="一般 2 11 3" xfId="348" xr:uid="{00000000-0005-0000-0000-000021000000}"/>
    <cellStyle name="一般 2 11 3 2" xfId="1398" xr:uid="{00000000-0005-0000-0000-000022000000}"/>
    <cellStyle name="一般 2 11 3 3" xfId="873" xr:uid="{00000000-0005-0000-0000-000023000000}"/>
    <cellStyle name="一般 2 11 3 4" xfId="1923" xr:uid="{00000000-0005-0000-0000-000024000000}"/>
    <cellStyle name="一般 2 11 3 5" xfId="2448" xr:uid="{00000000-0005-0000-0000-000025000000}"/>
    <cellStyle name="一般 2 11 4" xfId="1137" xr:uid="{00000000-0005-0000-0000-000026000000}"/>
    <cellStyle name="一般 2 11 5" xfId="612" xr:uid="{00000000-0005-0000-0000-000027000000}"/>
    <cellStyle name="一般 2 11 6" xfId="1662" xr:uid="{00000000-0005-0000-0000-000028000000}"/>
    <cellStyle name="一般 2 11 7" xfId="2187" xr:uid="{00000000-0005-0000-0000-000029000000}"/>
    <cellStyle name="一般 2 12" xfId="96" xr:uid="{00000000-0005-0000-0000-00002A000000}"/>
    <cellStyle name="一般 2 12 2" xfId="222" xr:uid="{00000000-0005-0000-0000-00002B000000}"/>
    <cellStyle name="一般 2 12 2 2" xfId="483" xr:uid="{00000000-0005-0000-0000-00002C000000}"/>
    <cellStyle name="一般 2 12 2 2 2" xfId="1533" xr:uid="{00000000-0005-0000-0000-00002D000000}"/>
    <cellStyle name="一般 2 12 2 2 3" xfId="1008" xr:uid="{00000000-0005-0000-0000-00002E000000}"/>
    <cellStyle name="一般 2 12 2 2 4" xfId="2058" xr:uid="{00000000-0005-0000-0000-00002F000000}"/>
    <cellStyle name="一般 2 12 2 2 5" xfId="2583" xr:uid="{00000000-0005-0000-0000-000030000000}"/>
    <cellStyle name="一般 2 12 2 3" xfId="1272" xr:uid="{00000000-0005-0000-0000-000031000000}"/>
    <cellStyle name="一般 2 12 2 4" xfId="747" xr:uid="{00000000-0005-0000-0000-000032000000}"/>
    <cellStyle name="一般 2 12 2 5" xfId="1797" xr:uid="{00000000-0005-0000-0000-000033000000}"/>
    <cellStyle name="一般 2 12 2 6" xfId="2322" xr:uid="{00000000-0005-0000-0000-000034000000}"/>
    <cellStyle name="一般 2 12 3" xfId="357" xr:uid="{00000000-0005-0000-0000-000035000000}"/>
    <cellStyle name="一般 2 12 3 2" xfId="1407" xr:uid="{00000000-0005-0000-0000-000036000000}"/>
    <cellStyle name="一般 2 12 3 3" xfId="882" xr:uid="{00000000-0005-0000-0000-000037000000}"/>
    <cellStyle name="一般 2 12 3 4" xfId="1932" xr:uid="{00000000-0005-0000-0000-000038000000}"/>
    <cellStyle name="一般 2 12 3 5" xfId="2457" xr:uid="{00000000-0005-0000-0000-000039000000}"/>
    <cellStyle name="一般 2 12 4" xfId="1146" xr:uid="{00000000-0005-0000-0000-00003A000000}"/>
    <cellStyle name="一般 2 12 5" xfId="621" xr:uid="{00000000-0005-0000-0000-00003B000000}"/>
    <cellStyle name="一般 2 12 6" xfId="1671" xr:uid="{00000000-0005-0000-0000-00003C000000}"/>
    <cellStyle name="一般 2 12 7" xfId="2196" xr:uid="{00000000-0005-0000-0000-00003D000000}"/>
    <cellStyle name="一般 2 13" xfId="105" xr:uid="{00000000-0005-0000-0000-00003E000000}"/>
    <cellStyle name="一般 2 13 2" xfId="231" xr:uid="{00000000-0005-0000-0000-00003F000000}"/>
    <cellStyle name="一般 2 13 2 2" xfId="492" xr:uid="{00000000-0005-0000-0000-000040000000}"/>
    <cellStyle name="一般 2 13 2 2 2" xfId="1542" xr:uid="{00000000-0005-0000-0000-000041000000}"/>
    <cellStyle name="一般 2 13 2 2 3" xfId="1017" xr:uid="{00000000-0005-0000-0000-000042000000}"/>
    <cellStyle name="一般 2 13 2 2 4" xfId="2067" xr:uid="{00000000-0005-0000-0000-000043000000}"/>
    <cellStyle name="一般 2 13 2 2 5" xfId="2592" xr:uid="{00000000-0005-0000-0000-000044000000}"/>
    <cellStyle name="一般 2 13 2 3" xfId="1281" xr:uid="{00000000-0005-0000-0000-000045000000}"/>
    <cellStyle name="一般 2 13 2 4" xfId="756" xr:uid="{00000000-0005-0000-0000-000046000000}"/>
    <cellStyle name="一般 2 13 2 5" xfId="1806" xr:uid="{00000000-0005-0000-0000-000047000000}"/>
    <cellStyle name="一般 2 13 2 6" xfId="2331" xr:uid="{00000000-0005-0000-0000-000048000000}"/>
    <cellStyle name="一般 2 13 3" xfId="366" xr:uid="{00000000-0005-0000-0000-000049000000}"/>
    <cellStyle name="一般 2 13 3 2" xfId="1416" xr:uid="{00000000-0005-0000-0000-00004A000000}"/>
    <cellStyle name="一般 2 13 3 3" xfId="891" xr:uid="{00000000-0005-0000-0000-00004B000000}"/>
    <cellStyle name="一般 2 13 3 4" xfId="1941" xr:uid="{00000000-0005-0000-0000-00004C000000}"/>
    <cellStyle name="一般 2 13 3 5" xfId="2466" xr:uid="{00000000-0005-0000-0000-00004D000000}"/>
    <cellStyle name="一般 2 13 4" xfId="1155" xr:uid="{00000000-0005-0000-0000-00004E000000}"/>
    <cellStyle name="一般 2 13 5" xfId="630" xr:uid="{00000000-0005-0000-0000-00004F000000}"/>
    <cellStyle name="一般 2 13 6" xfId="1680" xr:uid="{00000000-0005-0000-0000-000050000000}"/>
    <cellStyle name="一般 2 13 7" xfId="2205" xr:uid="{00000000-0005-0000-0000-000051000000}"/>
    <cellStyle name="一般 2 14" xfId="114" xr:uid="{00000000-0005-0000-0000-000052000000}"/>
    <cellStyle name="一般 2 14 2" xfId="240" xr:uid="{00000000-0005-0000-0000-000053000000}"/>
    <cellStyle name="一般 2 14 2 2" xfId="501" xr:uid="{00000000-0005-0000-0000-000054000000}"/>
    <cellStyle name="一般 2 14 2 2 2" xfId="1551" xr:uid="{00000000-0005-0000-0000-000055000000}"/>
    <cellStyle name="一般 2 14 2 2 3" xfId="1026" xr:uid="{00000000-0005-0000-0000-000056000000}"/>
    <cellStyle name="一般 2 14 2 2 4" xfId="2076" xr:uid="{00000000-0005-0000-0000-000057000000}"/>
    <cellStyle name="一般 2 14 2 2 5" xfId="2601" xr:uid="{00000000-0005-0000-0000-000058000000}"/>
    <cellStyle name="一般 2 14 2 3" xfId="1290" xr:uid="{00000000-0005-0000-0000-000059000000}"/>
    <cellStyle name="一般 2 14 2 4" xfId="765" xr:uid="{00000000-0005-0000-0000-00005A000000}"/>
    <cellStyle name="一般 2 14 2 5" xfId="1815" xr:uid="{00000000-0005-0000-0000-00005B000000}"/>
    <cellStyle name="一般 2 14 2 6" xfId="2340" xr:uid="{00000000-0005-0000-0000-00005C000000}"/>
    <cellStyle name="一般 2 14 3" xfId="375" xr:uid="{00000000-0005-0000-0000-00005D000000}"/>
    <cellStyle name="一般 2 14 3 2" xfId="1425" xr:uid="{00000000-0005-0000-0000-00005E000000}"/>
    <cellStyle name="一般 2 14 3 3" xfId="900" xr:uid="{00000000-0005-0000-0000-00005F000000}"/>
    <cellStyle name="一般 2 14 3 4" xfId="1950" xr:uid="{00000000-0005-0000-0000-000060000000}"/>
    <cellStyle name="一般 2 14 3 5" xfId="2475" xr:uid="{00000000-0005-0000-0000-000061000000}"/>
    <cellStyle name="一般 2 14 4" xfId="1164" xr:uid="{00000000-0005-0000-0000-000062000000}"/>
    <cellStyle name="一般 2 14 5" xfId="639" xr:uid="{00000000-0005-0000-0000-000063000000}"/>
    <cellStyle name="一般 2 14 6" xfId="1689" xr:uid="{00000000-0005-0000-0000-000064000000}"/>
    <cellStyle name="一般 2 14 7" xfId="2214" xr:uid="{00000000-0005-0000-0000-000065000000}"/>
    <cellStyle name="一般 2 15" xfId="123" xr:uid="{00000000-0005-0000-0000-000066000000}"/>
    <cellStyle name="一般 2 15 2" xfId="249" xr:uid="{00000000-0005-0000-0000-000067000000}"/>
    <cellStyle name="一般 2 15 2 2" xfId="510" xr:uid="{00000000-0005-0000-0000-000068000000}"/>
    <cellStyle name="一般 2 15 2 2 2" xfId="1560" xr:uid="{00000000-0005-0000-0000-000069000000}"/>
    <cellStyle name="一般 2 15 2 2 3" xfId="1035" xr:uid="{00000000-0005-0000-0000-00006A000000}"/>
    <cellStyle name="一般 2 15 2 2 4" xfId="2085" xr:uid="{00000000-0005-0000-0000-00006B000000}"/>
    <cellStyle name="一般 2 15 2 2 5" xfId="2610" xr:uid="{00000000-0005-0000-0000-00006C000000}"/>
    <cellStyle name="一般 2 15 2 3" xfId="1299" xr:uid="{00000000-0005-0000-0000-00006D000000}"/>
    <cellStyle name="一般 2 15 2 4" xfId="774" xr:uid="{00000000-0005-0000-0000-00006E000000}"/>
    <cellStyle name="一般 2 15 2 5" xfId="1824" xr:uid="{00000000-0005-0000-0000-00006F000000}"/>
    <cellStyle name="一般 2 15 2 6" xfId="2349" xr:uid="{00000000-0005-0000-0000-000070000000}"/>
    <cellStyle name="一般 2 15 3" xfId="384" xr:uid="{00000000-0005-0000-0000-000071000000}"/>
    <cellStyle name="一般 2 15 3 2" xfId="1434" xr:uid="{00000000-0005-0000-0000-000072000000}"/>
    <cellStyle name="一般 2 15 3 3" xfId="909" xr:uid="{00000000-0005-0000-0000-000073000000}"/>
    <cellStyle name="一般 2 15 3 4" xfId="1959" xr:uid="{00000000-0005-0000-0000-000074000000}"/>
    <cellStyle name="一般 2 15 3 5" xfId="2484" xr:uid="{00000000-0005-0000-0000-000075000000}"/>
    <cellStyle name="一般 2 15 4" xfId="1173" xr:uid="{00000000-0005-0000-0000-000076000000}"/>
    <cellStyle name="一般 2 15 5" xfId="648" xr:uid="{00000000-0005-0000-0000-000077000000}"/>
    <cellStyle name="一般 2 15 6" xfId="1698" xr:uid="{00000000-0005-0000-0000-000078000000}"/>
    <cellStyle name="一般 2 15 7" xfId="2223" xr:uid="{00000000-0005-0000-0000-000079000000}"/>
    <cellStyle name="一般 2 16" xfId="132" xr:uid="{00000000-0005-0000-0000-00007A000000}"/>
    <cellStyle name="一般 2 16 2" xfId="258" xr:uid="{00000000-0005-0000-0000-00007B000000}"/>
    <cellStyle name="一般 2 16 2 2" xfId="519" xr:uid="{00000000-0005-0000-0000-00007C000000}"/>
    <cellStyle name="一般 2 16 2 2 2" xfId="1569" xr:uid="{00000000-0005-0000-0000-00007D000000}"/>
    <cellStyle name="一般 2 16 2 2 3" xfId="1044" xr:uid="{00000000-0005-0000-0000-00007E000000}"/>
    <cellStyle name="一般 2 16 2 2 4" xfId="2094" xr:uid="{00000000-0005-0000-0000-00007F000000}"/>
    <cellStyle name="一般 2 16 2 2 5" xfId="2619" xr:uid="{00000000-0005-0000-0000-000080000000}"/>
    <cellStyle name="一般 2 16 2 3" xfId="1308" xr:uid="{00000000-0005-0000-0000-000081000000}"/>
    <cellStyle name="一般 2 16 2 4" xfId="783" xr:uid="{00000000-0005-0000-0000-000082000000}"/>
    <cellStyle name="一般 2 16 2 5" xfId="1833" xr:uid="{00000000-0005-0000-0000-000083000000}"/>
    <cellStyle name="一般 2 16 2 6" xfId="2358" xr:uid="{00000000-0005-0000-0000-000084000000}"/>
    <cellStyle name="一般 2 16 3" xfId="393" xr:uid="{00000000-0005-0000-0000-000085000000}"/>
    <cellStyle name="一般 2 16 3 2" xfId="1443" xr:uid="{00000000-0005-0000-0000-000086000000}"/>
    <cellStyle name="一般 2 16 3 3" xfId="918" xr:uid="{00000000-0005-0000-0000-000087000000}"/>
    <cellStyle name="一般 2 16 3 4" xfId="1968" xr:uid="{00000000-0005-0000-0000-000088000000}"/>
    <cellStyle name="一般 2 16 3 5" xfId="2493" xr:uid="{00000000-0005-0000-0000-000089000000}"/>
    <cellStyle name="一般 2 16 4" xfId="1182" xr:uid="{00000000-0005-0000-0000-00008A000000}"/>
    <cellStyle name="一般 2 16 5" xfId="657" xr:uid="{00000000-0005-0000-0000-00008B000000}"/>
    <cellStyle name="一般 2 16 6" xfId="1707" xr:uid="{00000000-0005-0000-0000-00008C000000}"/>
    <cellStyle name="一般 2 16 7" xfId="2232" xr:uid="{00000000-0005-0000-0000-00008D000000}"/>
    <cellStyle name="一般 2 17" xfId="15" xr:uid="{00000000-0005-0000-0000-00008E000000}"/>
    <cellStyle name="一般 2 17 2" xfId="276" xr:uid="{00000000-0005-0000-0000-00008F000000}"/>
    <cellStyle name="一般 2 17 2 2" xfId="1326" xr:uid="{00000000-0005-0000-0000-000090000000}"/>
    <cellStyle name="一般 2 17 2 3" xfId="801" xr:uid="{00000000-0005-0000-0000-000091000000}"/>
    <cellStyle name="一般 2 17 2 4" xfId="1851" xr:uid="{00000000-0005-0000-0000-000092000000}"/>
    <cellStyle name="一般 2 17 2 5" xfId="2376" xr:uid="{00000000-0005-0000-0000-000093000000}"/>
    <cellStyle name="一般 2 17 3" xfId="1065" xr:uid="{00000000-0005-0000-0000-000094000000}"/>
    <cellStyle name="一般 2 17 4" xfId="540" xr:uid="{00000000-0005-0000-0000-000095000000}"/>
    <cellStyle name="一般 2 17 5" xfId="1590" xr:uid="{00000000-0005-0000-0000-000096000000}"/>
    <cellStyle name="一般 2 17 6" xfId="2115" xr:uid="{00000000-0005-0000-0000-000097000000}"/>
    <cellStyle name="一般 2 18" xfId="141" xr:uid="{00000000-0005-0000-0000-000098000000}"/>
    <cellStyle name="一般 2 18 2" xfId="402" xr:uid="{00000000-0005-0000-0000-000099000000}"/>
    <cellStyle name="一般 2 18 2 2" xfId="1452" xr:uid="{00000000-0005-0000-0000-00009A000000}"/>
    <cellStyle name="一般 2 18 2 3" xfId="927" xr:uid="{00000000-0005-0000-0000-00009B000000}"/>
    <cellStyle name="一般 2 18 2 4" xfId="1977" xr:uid="{00000000-0005-0000-0000-00009C000000}"/>
    <cellStyle name="一般 2 18 2 5" xfId="2502" xr:uid="{00000000-0005-0000-0000-00009D000000}"/>
    <cellStyle name="一般 2 18 3" xfId="1191" xr:uid="{00000000-0005-0000-0000-00009E000000}"/>
    <cellStyle name="一般 2 18 4" xfId="666" xr:uid="{00000000-0005-0000-0000-00009F000000}"/>
    <cellStyle name="一般 2 18 5" xfId="1716" xr:uid="{00000000-0005-0000-0000-0000A0000000}"/>
    <cellStyle name="一般 2 18 6" xfId="2241" xr:uid="{00000000-0005-0000-0000-0000A1000000}"/>
    <cellStyle name="一般 2 19" xfId="267" xr:uid="{00000000-0005-0000-0000-0000A2000000}"/>
    <cellStyle name="一般 2 19 2" xfId="1317" xr:uid="{00000000-0005-0000-0000-0000A3000000}"/>
    <cellStyle name="一般 2 19 3" xfId="792" xr:uid="{00000000-0005-0000-0000-0000A4000000}"/>
    <cellStyle name="一般 2 19 4" xfId="1842" xr:uid="{00000000-0005-0000-0000-0000A5000000}"/>
    <cellStyle name="一般 2 19 5" xfId="2367" xr:uid="{00000000-0005-0000-0000-0000A6000000}"/>
    <cellStyle name="一般 2 2" xfId="9" xr:uid="{00000000-0005-0000-0000-0000A7000000}"/>
    <cellStyle name="一般 2 2 10" xfId="99" xr:uid="{00000000-0005-0000-0000-0000A8000000}"/>
    <cellStyle name="一般 2 2 10 2" xfId="225" xr:uid="{00000000-0005-0000-0000-0000A9000000}"/>
    <cellStyle name="一般 2 2 10 2 2" xfId="486" xr:uid="{00000000-0005-0000-0000-0000AA000000}"/>
    <cellStyle name="一般 2 2 10 2 2 2" xfId="1536" xr:uid="{00000000-0005-0000-0000-0000AB000000}"/>
    <cellStyle name="一般 2 2 10 2 2 3" xfId="1011" xr:uid="{00000000-0005-0000-0000-0000AC000000}"/>
    <cellStyle name="一般 2 2 10 2 2 4" xfId="2061" xr:uid="{00000000-0005-0000-0000-0000AD000000}"/>
    <cellStyle name="一般 2 2 10 2 2 5" xfId="2586" xr:uid="{00000000-0005-0000-0000-0000AE000000}"/>
    <cellStyle name="一般 2 2 10 2 3" xfId="1275" xr:uid="{00000000-0005-0000-0000-0000AF000000}"/>
    <cellStyle name="一般 2 2 10 2 4" xfId="750" xr:uid="{00000000-0005-0000-0000-0000B0000000}"/>
    <cellStyle name="一般 2 2 10 2 5" xfId="1800" xr:uid="{00000000-0005-0000-0000-0000B1000000}"/>
    <cellStyle name="一般 2 2 10 2 6" xfId="2325" xr:uid="{00000000-0005-0000-0000-0000B2000000}"/>
    <cellStyle name="一般 2 2 10 3" xfId="360" xr:uid="{00000000-0005-0000-0000-0000B3000000}"/>
    <cellStyle name="一般 2 2 10 3 2" xfId="1410" xr:uid="{00000000-0005-0000-0000-0000B4000000}"/>
    <cellStyle name="一般 2 2 10 3 3" xfId="885" xr:uid="{00000000-0005-0000-0000-0000B5000000}"/>
    <cellStyle name="一般 2 2 10 3 4" xfId="1935" xr:uid="{00000000-0005-0000-0000-0000B6000000}"/>
    <cellStyle name="一般 2 2 10 3 5" xfId="2460" xr:uid="{00000000-0005-0000-0000-0000B7000000}"/>
    <cellStyle name="一般 2 2 10 4" xfId="1149" xr:uid="{00000000-0005-0000-0000-0000B8000000}"/>
    <cellStyle name="一般 2 2 10 5" xfId="624" xr:uid="{00000000-0005-0000-0000-0000B9000000}"/>
    <cellStyle name="一般 2 2 10 6" xfId="1674" xr:uid="{00000000-0005-0000-0000-0000BA000000}"/>
    <cellStyle name="一般 2 2 10 7" xfId="2199" xr:uid="{00000000-0005-0000-0000-0000BB000000}"/>
    <cellStyle name="一般 2 2 11" xfId="108" xr:uid="{00000000-0005-0000-0000-0000BC000000}"/>
    <cellStyle name="一般 2 2 11 2" xfId="234" xr:uid="{00000000-0005-0000-0000-0000BD000000}"/>
    <cellStyle name="一般 2 2 11 2 2" xfId="495" xr:uid="{00000000-0005-0000-0000-0000BE000000}"/>
    <cellStyle name="一般 2 2 11 2 2 2" xfId="1545" xr:uid="{00000000-0005-0000-0000-0000BF000000}"/>
    <cellStyle name="一般 2 2 11 2 2 3" xfId="1020" xr:uid="{00000000-0005-0000-0000-0000C0000000}"/>
    <cellStyle name="一般 2 2 11 2 2 4" xfId="2070" xr:uid="{00000000-0005-0000-0000-0000C1000000}"/>
    <cellStyle name="一般 2 2 11 2 2 5" xfId="2595" xr:uid="{00000000-0005-0000-0000-0000C2000000}"/>
    <cellStyle name="一般 2 2 11 2 3" xfId="1284" xr:uid="{00000000-0005-0000-0000-0000C3000000}"/>
    <cellStyle name="一般 2 2 11 2 4" xfId="759" xr:uid="{00000000-0005-0000-0000-0000C4000000}"/>
    <cellStyle name="一般 2 2 11 2 5" xfId="1809" xr:uid="{00000000-0005-0000-0000-0000C5000000}"/>
    <cellStyle name="一般 2 2 11 2 6" xfId="2334" xr:uid="{00000000-0005-0000-0000-0000C6000000}"/>
    <cellStyle name="一般 2 2 11 3" xfId="369" xr:uid="{00000000-0005-0000-0000-0000C7000000}"/>
    <cellStyle name="一般 2 2 11 3 2" xfId="1419" xr:uid="{00000000-0005-0000-0000-0000C8000000}"/>
    <cellStyle name="一般 2 2 11 3 3" xfId="894" xr:uid="{00000000-0005-0000-0000-0000C9000000}"/>
    <cellStyle name="一般 2 2 11 3 4" xfId="1944" xr:uid="{00000000-0005-0000-0000-0000CA000000}"/>
    <cellStyle name="一般 2 2 11 3 5" xfId="2469" xr:uid="{00000000-0005-0000-0000-0000CB000000}"/>
    <cellStyle name="一般 2 2 11 4" xfId="1158" xr:uid="{00000000-0005-0000-0000-0000CC000000}"/>
    <cellStyle name="一般 2 2 11 5" xfId="633" xr:uid="{00000000-0005-0000-0000-0000CD000000}"/>
    <cellStyle name="一般 2 2 11 6" xfId="1683" xr:uid="{00000000-0005-0000-0000-0000CE000000}"/>
    <cellStyle name="一般 2 2 11 7" xfId="2208" xr:uid="{00000000-0005-0000-0000-0000CF000000}"/>
    <cellStyle name="一般 2 2 12" xfId="117" xr:uid="{00000000-0005-0000-0000-0000D0000000}"/>
    <cellStyle name="一般 2 2 12 2" xfId="243" xr:uid="{00000000-0005-0000-0000-0000D1000000}"/>
    <cellStyle name="一般 2 2 12 2 2" xfId="504" xr:uid="{00000000-0005-0000-0000-0000D2000000}"/>
    <cellStyle name="一般 2 2 12 2 2 2" xfId="1554" xr:uid="{00000000-0005-0000-0000-0000D3000000}"/>
    <cellStyle name="一般 2 2 12 2 2 3" xfId="1029" xr:uid="{00000000-0005-0000-0000-0000D4000000}"/>
    <cellStyle name="一般 2 2 12 2 2 4" xfId="2079" xr:uid="{00000000-0005-0000-0000-0000D5000000}"/>
    <cellStyle name="一般 2 2 12 2 2 5" xfId="2604" xr:uid="{00000000-0005-0000-0000-0000D6000000}"/>
    <cellStyle name="一般 2 2 12 2 3" xfId="1293" xr:uid="{00000000-0005-0000-0000-0000D7000000}"/>
    <cellStyle name="一般 2 2 12 2 4" xfId="768" xr:uid="{00000000-0005-0000-0000-0000D8000000}"/>
    <cellStyle name="一般 2 2 12 2 5" xfId="1818" xr:uid="{00000000-0005-0000-0000-0000D9000000}"/>
    <cellStyle name="一般 2 2 12 2 6" xfId="2343" xr:uid="{00000000-0005-0000-0000-0000DA000000}"/>
    <cellStyle name="一般 2 2 12 3" xfId="378" xr:uid="{00000000-0005-0000-0000-0000DB000000}"/>
    <cellStyle name="一般 2 2 12 3 2" xfId="1428" xr:uid="{00000000-0005-0000-0000-0000DC000000}"/>
    <cellStyle name="一般 2 2 12 3 3" xfId="903" xr:uid="{00000000-0005-0000-0000-0000DD000000}"/>
    <cellStyle name="一般 2 2 12 3 4" xfId="1953" xr:uid="{00000000-0005-0000-0000-0000DE000000}"/>
    <cellStyle name="一般 2 2 12 3 5" xfId="2478" xr:uid="{00000000-0005-0000-0000-0000DF000000}"/>
    <cellStyle name="一般 2 2 12 4" xfId="1167" xr:uid="{00000000-0005-0000-0000-0000E0000000}"/>
    <cellStyle name="一般 2 2 12 5" xfId="642" xr:uid="{00000000-0005-0000-0000-0000E1000000}"/>
    <cellStyle name="一般 2 2 12 6" xfId="1692" xr:uid="{00000000-0005-0000-0000-0000E2000000}"/>
    <cellStyle name="一般 2 2 12 7" xfId="2217" xr:uid="{00000000-0005-0000-0000-0000E3000000}"/>
    <cellStyle name="一般 2 2 13" xfId="126" xr:uid="{00000000-0005-0000-0000-0000E4000000}"/>
    <cellStyle name="一般 2 2 13 2" xfId="252" xr:uid="{00000000-0005-0000-0000-0000E5000000}"/>
    <cellStyle name="一般 2 2 13 2 2" xfId="513" xr:uid="{00000000-0005-0000-0000-0000E6000000}"/>
    <cellStyle name="一般 2 2 13 2 2 2" xfId="1563" xr:uid="{00000000-0005-0000-0000-0000E7000000}"/>
    <cellStyle name="一般 2 2 13 2 2 3" xfId="1038" xr:uid="{00000000-0005-0000-0000-0000E8000000}"/>
    <cellStyle name="一般 2 2 13 2 2 4" xfId="2088" xr:uid="{00000000-0005-0000-0000-0000E9000000}"/>
    <cellStyle name="一般 2 2 13 2 2 5" xfId="2613" xr:uid="{00000000-0005-0000-0000-0000EA000000}"/>
    <cellStyle name="一般 2 2 13 2 3" xfId="1302" xr:uid="{00000000-0005-0000-0000-0000EB000000}"/>
    <cellStyle name="一般 2 2 13 2 4" xfId="777" xr:uid="{00000000-0005-0000-0000-0000EC000000}"/>
    <cellStyle name="一般 2 2 13 2 5" xfId="1827" xr:uid="{00000000-0005-0000-0000-0000ED000000}"/>
    <cellStyle name="一般 2 2 13 2 6" xfId="2352" xr:uid="{00000000-0005-0000-0000-0000EE000000}"/>
    <cellStyle name="一般 2 2 13 3" xfId="387" xr:uid="{00000000-0005-0000-0000-0000EF000000}"/>
    <cellStyle name="一般 2 2 13 3 2" xfId="1437" xr:uid="{00000000-0005-0000-0000-0000F0000000}"/>
    <cellStyle name="一般 2 2 13 3 3" xfId="912" xr:uid="{00000000-0005-0000-0000-0000F1000000}"/>
    <cellStyle name="一般 2 2 13 3 4" xfId="1962" xr:uid="{00000000-0005-0000-0000-0000F2000000}"/>
    <cellStyle name="一般 2 2 13 3 5" xfId="2487" xr:uid="{00000000-0005-0000-0000-0000F3000000}"/>
    <cellStyle name="一般 2 2 13 4" xfId="1176" xr:uid="{00000000-0005-0000-0000-0000F4000000}"/>
    <cellStyle name="一般 2 2 13 5" xfId="651" xr:uid="{00000000-0005-0000-0000-0000F5000000}"/>
    <cellStyle name="一般 2 2 13 6" xfId="1701" xr:uid="{00000000-0005-0000-0000-0000F6000000}"/>
    <cellStyle name="一般 2 2 13 7" xfId="2226" xr:uid="{00000000-0005-0000-0000-0000F7000000}"/>
    <cellStyle name="一般 2 2 14" xfId="135" xr:uid="{00000000-0005-0000-0000-0000F8000000}"/>
    <cellStyle name="一般 2 2 14 2" xfId="261" xr:uid="{00000000-0005-0000-0000-0000F9000000}"/>
    <cellStyle name="一般 2 2 14 2 2" xfId="522" xr:uid="{00000000-0005-0000-0000-0000FA000000}"/>
    <cellStyle name="一般 2 2 14 2 2 2" xfId="1572" xr:uid="{00000000-0005-0000-0000-0000FB000000}"/>
    <cellStyle name="一般 2 2 14 2 2 3" xfId="1047" xr:uid="{00000000-0005-0000-0000-0000FC000000}"/>
    <cellStyle name="一般 2 2 14 2 2 4" xfId="2097" xr:uid="{00000000-0005-0000-0000-0000FD000000}"/>
    <cellStyle name="一般 2 2 14 2 2 5" xfId="2622" xr:uid="{00000000-0005-0000-0000-0000FE000000}"/>
    <cellStyle name="一般 2 2 14 2 3" xfId="1311" xr:uid="{00000000-0005-0000-0000-0000FF000000}"/>
    <cellStyle name="一般 2 2 14 2 4" xfId="786" xr:uid="{00000000-0005-0000-0000-000000010000}"/>
    <cellStyle name="一般 2 2 14 2 5" xfId="1836" xr:uid="{00000000-0005-0000-0000-000001010000}"/>
    <cellStyle name="一般 2 2 14 2 6" xfId="2361" xr:uid="{00000000-0005-0000-0000-000002010000}"/>
    <cellStyle name="一般 2 2 14 3" xfId="396" xr:uid="{00000000-0005-0000-0000-000003010000}"/>
    <cellStyle name="一般 2 2 14 3 2" xfId="1446" xr:uid="{00000000-0005-0000-0000-000004010000}"/>
    <cellStyle name="一般 2 2 14 3 3" xfId="921" xr:uid="{00000000-0005-0000-0000-000005010000}"/>
    <cellStyle name="一般 2 2 14 3 4" xfId="1971" xr:uid="{00000000-0005-0000-0000-000006010000}"/>
    <cellStyle name="一般 2 2 14 3 5" xfId="2496" xr:uid="{00000000-0005-0000-0000-000007010000}"/>
    <cellStyle name="一般 2 2 14 4" xfId="1185" xr:uid="{00000000-0005-0000-0000-000008010000}"/>
    <cellStyle name="一般 2 2 14 5" xfId="660" xr:uid="{00000000-0005-0000-0000-000009010000}"/>
    <cellStyle name="一般 2 2 14 6" xfId="1710" xr:uid="{00000000-0005-0000-0000-00000A010000}"/>
    <cellStyle name="一般 2 2 14 7" xfId="2235" xr:uid="{00000000-0005-0000-0000-00000B010000}"/>
    <cellStyle name="一般 2 2 15" xfId="18" xr:uid="{00000000-0005-0000-0000-00000C010000}"/>
    <cellStyle name="一般 2 2 15 2" xfId="279" xr:uid="{00000000-0005-0000-0000-00000D010000}"/>
    <cellStyle name="一般 2 2 15 2 2" xfId="1329" xr:uid="{00000000-0005-0000-0000-00000E010000}"/>
    <cellStyle name="一般 2 2 15 2 3" xfId="804" xr:uid="{00000000-0005-0000-0000-00000F010000}"/>
    <cellStyle name="一般 2 2 15 2 4" xfId="1854" xr:uid="{00000000-0005-0000-0000-000010010000}"/>
    <cellStyle name="一般 2 2 15 2 5" xfId="2379" xr:uid="{00000000-0005-0000-0000-000011010000}"/>
    <cellStyle name="一般 2 2 15 3" xfId="1068" xr:uid="{00000000-0005-0000-0000-000012010000}"/>
    <cellStyle name="一般 2 2 15 4" xfId="543" xr:uid="{00000000-0005-0000-0000-000013010000}"/>
    <cellStyle name="一般 2 2 15 5" xfId="1593" xr:uid="{00000000-0005-0000-0000-000014010000}"/>
    <cellStyle name="一般 2 2 15 6" xfId="2118" xr:uid="{00000000-0005-0000-0000-000015010000}"/>
    <cellStyle name="一般 2 2 16" xfId="144" xr:uid="{00000000-0005-0000-0000-000016010000}"/>
    <cellStyle name="一般 2 2 16 2" xfId="405" xr:uid="{00000000-0005-0000-0000-000017010000}"/>
    <cellStyle name="一般 2 2 16 2 2" xfId="1455" xr:uid="{00000000-0005-0000-0000-000018010000}"/>
    <cellStyle name="一般 2 2 16 2 3" xfId="930" xr:uid="{00000000-0005-0000-0000-000019010000}"/>
    <cellStyle name="一般 2 2 16 2 4" xfId="1980" xr:uid="{00000000-0005-0000-0000-00001A010000}"/>
    <cellStyle name="一般 2 2 16 2 5" xfId="2505" xr:uid="{00000000-0005-0000-0000-00001B010000}"/>
    <cellStyle name="一般 2 2 16 3" xfId="1194" xr:uid="{00000000-0005-0000-0000-00001C010000}"/>
    <cellStyle name="一般 2 2 16 4" xfId="669" xr:uid="{00000000-0005-0000-0000-00001D010000}"/>
    <cellStyle name="一般 2 2 16 5" xfId="1719" xr:uid="{00000000-0005-0000-0000-00001E010000}"/>
    <cellStyle name="一般 2 2 16 6" xfId="2244" xr:uid="{00000000-0005-0000-0000-00001F010000}"/>
    <cellStyle name="一般 2 2 17" xfId="270" xr:uid="{00000000-0005-0000-0000-000020010000}"/>
    <cellStyle name="一般 2 2 17 2" xfId="1320" xr:uid="{00000000-0005-0000-0000-000021010000}"/>
    <cellStyle name="一般 2 2 17 3" xfId="795" xr:uid="{00000000-0005-0000-0000-000022010000}"/>
    <cellStyle name="一般 2 2 17 4" xfId="1845" xr:uid="{00000000-0005-0000-0000-000023010000}"/>
    <cellStyle name="一般 2 2 17 5" xfId="2370" xr:uid="{00000000-0005-0000-0000-000024010000}"/>
    <cellStyle name="一般 2 2 18" xfId="1059" xr:uid="{00000000-0005-0000-0000-000025010000}"/>
    <cellStyle name="一般 2 2 19" xfId="534" xr:uid="{00000000-0005-0000-0000-000026010000}"/>
    <cellStyle name="一般 2 2 2" xfId="28" xr:uid="{00000000-0005-0000-0000-000027010000}"/>
    <cellStyle name="一般 2 2 2 2" xfId="154" xr:uid="{00000000-0005-0000-0000-000028010000}"/>
    <cellStyle name="一般 2 2 2 2 2" xfId="415" xr:uid="{00000000-0005-0000-0000-000029010000}"/>
    <cellStyle name="一般 2 2 2 2 2 2" xfId="1465" xr:uid="{00000000-0005-0000-0000-00002A010000}"/>
    <cellStyle name="一般 2 2 2 2 2 3" xfId="940" xr:uid="{00000000-0005-0000-0000-00002B010000}"/>
    <cellStyle name="一般 2 2 2 2 2 4" xfId="1990" xr:uid="{00000000-0005-0000-0000-00002C010000}"/>
    <cellStyle name="一般 2 2 2 2 2 5" xfId="2515" xr:uid="{00000000-0005-0000-0000-00002D010000}"/>
    <cellStyle name="一般 2 2 2 2 3" xfId="1204" xr:uid="{00000000-0005-0000-0000-00002E010000}"/>
    <cellStyle name="一般 2 2 2 2 4" xfId="679" xr:uid="{00000000-0005-0000-0000-00002F010000}"/>
    <cellStyle name="一般 2 2 2 2 5" xfId="1729" xr:uid="{00000000-0005-0000-0000-000030010000}"/>
    <cellStyle name="一般 2 2 2 2 6" xfId="2254" xr:uid="{00000000-0005-0000-0000-000031010000}"/>
    <cellStyle name="一般 2 2 2 3" xfId="289" xr:uid="{00000000-0005-0000-0000-000032010000}"/>
    <cellStyle name="一般 2 2 2 3 2" xfId="1339" xr:uid="{00000000-0005-0000-0000-000033010000}"/>
    <cellStyle name="一般 2 2 2 3 3" xfId="814" xr:uid="{00000000-0005-0000-0000-000034010000}"/>
    <cellStyle name="一般 2 2 2 3 4" xfId="1864" xr:uid="{00000000-0005-0000-0000-000035010000}"/>
    <cellStyle name="一般 2 2 2 3 5" xfId="2389" xr:uid="{00000000-0005-0000-0000-000036010000}"/>
    <cellStyle name="一般 2 2 2 4" xfId="1078" xr:uid="{00000000-0005-0000-0000-000037010000}"/>
    <cellStyle name="一般 2 2 2 5" xfId="553" xr:uid="{00000000-0005-0000-0000-000038010000}"/>
    <cellStyle name="一般 2 2 2 6" xfId="1603" xr:uid="{00000000-0005-0000-0000-000039010000}"/>
    <cellStyle name="一般 2 2 2 7" xfId="2128" xr:uid="{00000000-0005-0000-0000-00003A010000}"/>
    <cellStyle name="一般 2 2 20" xfId="1584" xr:uid="{00000000-0005-0000-0000-00003B010000}"/>
    <cellStyle name="一般 2 2 21" xfId="2109" xr:uid="{00000000-0005-0000-0000-00003C010000}"/>
    <cellStyle name="一般 2 2 3" xfId="37" xr:uid="{00000000-0005-0000-0000-00003D010000}"/>
    <cellStyle name="一般 2 2 3 2" xfId="163" xr:uid="{00000000-0005-0000-0000-00003E010000}"/>
    <cellStyle name="一般 2 2 3 2 2" xfId="424" xr:uid="{00000000-0005-0000-0000-00003F010000}"/>
    <cellStyle name="一般 2 2 3 2 2 2" xfId="1474" xr:uid="{00000000-0005-0000-0000-000040010000}"/>
    <cellStyle name="一般 2 2 3 2 2 3" xfId="949" xr:uid="{00000000-0005-0000-0000-000041010000}"/>
    <cellStyle name="一般 2 2 3 2 2 4" xfId="1999" xr:uid="{00000000-0005-0000-0000-000042010000}"/>
    <cellStyle name="一般 2 2 3 2 2 5" xfId="2524" xr:uid="{00000000-0005-0000-0000-000043010000}"/>
    <cellStyle name="一般 2 2 3 2 3" xfId="1213" xr:uid="{00000000-0005-0000-0000-000044010000}"/>
    <cellStyle name="一般 2 2 3 2 4" xfId="688" xr:uid="{00000000-0005-0000-0000-000045010000}"/>
    <cellStyle name="一般 2 2 3 2 5" xfId="1738" xr:uid="{00000000-0005-0000-0000-000046010000}"/>
    <cellStyle name="一般 2 2 3 2 6" xfId="2263" xr:uid="{00000000-0005-0000-0000-000047010000}"/>
    <cellStyle name="一般 2 2 3 3" xfId="298" xr:uid="{00000000-0005-0000-0000-000048010000}"/>
    <cellStyle name="一般 2 2 3 3 2" xfId="1348" xr:uid="{00000000-0005-0000-0000-000049010000}"/>
    <cellStyle name="一般 2 2 3 3 3" xfId="823" xr:uid="{00000000-0005-0000-0000-00004A010000}"/>
    <cellStyle name="一般 2 2 3 3 4" xfId="1873" xr:uid="{00000000-0005-0000-0000-00004B010000}"/>
    <cellStyle name="一般 2 2 3 3 5" xfId="2398" xr:uid="{00000000-0005-0000-0000-00004C010000}"/>
    <cellStyle name="一般 2 2 3 4" xfId="1087" xr:uid="{00000000-0005-0000-0000-00004D010000}"/>
    <cellStyle name="一般 2 2 3 5" xfId="562" xr:uid="{00000000-0005-0000-0000-00004E010000}"/>
    <cellStyle name="一般 2 2 3 6" xfId="1612" xr:uid="{00000000-0005-0000-0000-00004F010000}"/>
    <cellStyle name="一般 2 2 3 7" xfId="2137" xr:uid="{00000000-0005-0000-0000-000050010000}"/>
    <cellStyle name="一般 2 2 4" xfId="43" xr:uid="{00000000-0005-0000-0000-000051010000}"/>
    <cellStyle name="一般 2 2 4 2" xfId="169" xr:uid="{00000000-0005-0000-0000-000052010000}"/>
    <cellStyle name="一般 2 2 4 2 2" xfId="430" xr:uid="{00000000-0005-0000-0000-000053010000}"/>
    <cellStyle name="一般 2 2 4 2 2 2" xfId="1480" xr:uid="{00000000-0005-0000-0000-000054010000}"/>
    <cellStyle name="一般 2 2 4 2 2 3" xfId="955" xr:uid="{00000000-0005-0000-0000-000055010000}"/>
    <cellStyle name="一般 2 2 4 2 2 4" xfId="2005" xr:uid="{00000000-0005-0000-0000-000056010000}"/>
    <cellStyle name="一般 2 2 4 2 2 5" xfId="2530" xr:uid="{00000000-0005-0000-0000-000057010000}"/>
    <cellStyle name="一般 2 2 4 2 3" xfId="1219" xr:uid="{00000000-0005-0000-0000-000058010000}"/>
    <cellStyle name="一般 2 2 4 2 4" xfId="694" xr:uid="{00000000-0005-0000-0000-000059010000}"/>
    <cellStyle name="一般 2 2 4 2 5" xfId="1744" xr:uid="{00000000-0005-0000-0000-00005A010000}"/>
    <cellStyle name="一般 2 2 4 2 6" xfId="2269" xr:uid="{00000000-0005-0000-0000-00005B010000}"/>
    <cellStyle name="一般 2 2 4 3" xfId="304" xr:uid="{00000000-0005-0000-0000-00005C010000}"/>
    <cellStyle name="一般 2 2 4 3 2" xfId="1354" xr:uid="{00000000-0005-0000-0000-00005D010000}"/>
    <cellStyle name="一般 2 2 4 3 3" xfId="829" xr:uid="{00000000-0005-0000-0000-00005E010000}"/>
    <cellStyle name="一般 2 2 4 3 4" xfId="1879" xr:uid="{00000000-0005-0000-0000-00005F010000}"/>
    <cellStyle name="一般 2 2 4 3 5" xfId="2404" xr:uid="{00000000-0005-0000-0000-000060010000}"/>
    <cellStyle name="一般 2 2 4 4" xfId="1093" xr:uid="{00000000-0005-0000-0000-000061010000}"/>
    <cellStyle name="一般 2 2 4 5" xfId="568" xr:uid="{00000000-0005-0000-0000-000062010000}"/>
    <cellStyle name="一般 2 2 4 6" xfId="1618" xr:uid="{00000000-0005-0000-0000-000063010000}"/>
    <cellStyle name="一般 2 2 4 7" xfId="2143" xr:uid="{00000000-0005-0000-0000-000064010000}"/>
    <cellStyle name="一般 2 2 5" xfId="54" xr:uid="{00000000-0005-0000-0000-000065010000}"/>
    <cellStyle name="一般 2 2 5 2" xfId="180" xr:uid="{00000000-0005-0000-0000-000066010000}"/>
    <cellStyle name="一般 2 2 5 2 2" xfId="441" xr:uid="{00000000-0005-0000-0000-000067010000}"/>
    <cellStyle name="一般 2 2 5 2 2 2" xfId="1491" xr:uid="{00000000-0005-0000-0000-000068010000}"/>
    <cellStyle name="一般 2 2 5 2 2 3" xfId="966" xr:uid="{00000000-0005-0000-0000-000069010000}"/>
    <cellStyle name="一般 2 2 5 2 2 4" xfId="2016" xr:uid="{00000000-0005-0000-0000-00006A010000}"/>
    <cellStyle name="一般 2 2 5 2 2 5" xfId="2541" xr:uid="{00000000-0005-0000-0000-00006B010000}"/>
    <cellStyle name="一般 2 2 5 2 3" xfId="1230" xr:uid="{00000000-0005-0000-0000-00006C010000}"/>
    <cellStyle name="一般 2 2 5 2 4" xfId="705" xr:uid="{00000000-0005-0000-0000-00006D010000}"/>
    <cellStyle name="一般 2 2 5 2 5" xfId="1755" xr:uid="{00000000-0005-0000-0000-00006E010000}"/>
    <cellStyle name="一般 2 2 5 2 6" xfId="2280" xr:uid="{00000000-0005-0000-0000-00006F010000}"/>
    <cellStyle name="一般 2 2 5 3" xfId="315" xr:uid="{00000000-0005-0000-0000-000070010000}"/>
    <cellStyle name="一般 2 2 5 3 2" xfId="1365" xr:uid="{00000000-0005-0000-0000-000071010000}"/>
    <cellStyle name="一般 2 2 5 3 3" xfId="840" xr:uid="{00000000-0005-0000-0000-000072010000}"/>
    <cellStyle name="一般 2 2 5 3 4" xfId="1890" xr:uid="{00000000-0005-0000-0000-000073010000}"/>
    <cellStyle name="一般 2 2 5 3 5" xfId="2415" xr:uid="{00000000-0005-0000-0000-000074010000}"/>
    <cellStyle name="一般 2 2 5 4" xfId="1104" xr:uid="{00000000-0005-0000-0000-000075010000}"/>
    <cellStyle name="一般 2 2 5 5" xfId="579" xr:uid="{00000000-0005-0000-0000-000076010000}"/>
    <cellStyle name="一般 2 2 5 6" xfId="1629" xr:uid="{00000000-0005-0000-0000-000077010000}"/>
    <cellStyle name="一般 2 2 5 7" xfId="2154" xr:uid="{00000000-0005-0000-0000-000078010000}"/>
    <cellStyle name="一般 2 2 6" xfId="63" xr:uid="{00000000-0005-0000-0000-000079010000}"/>
    <cellStyle name="一般 2 2 6 2" xfId="189" xr:uid="{00000000-0005-0000-0000-00007A010000}"/>
    <cellStyle name="一般 2 2 6 2 2" xfId="450" xr:uid="{00000000-0005-0000-0000-00007B010000}"/>
    <cellStyle name="一般 2 2 6 2 2 2" xfId="1500" xr:uid="{00000000-0005-0000-0000-00007C010000}"/>
    <cellStyle name="一般 2 2 6 2 2 3" xfId="975" xr:uid="{00000000-0005-0000-0000-00007D010000}"/>
    <cellStyle name="一般 2 2 6 2 2 4" xfId="2025" xr:uid="{00000000-0005-0000-0000-00007E010000}"/>
    <cellStyle name="一般 2 2 6 2 2 5" xfId="2550" xr:uid="{00000000-0005-0000-0000-00007F010000}"/>
    <cellStyle name="一般 2 2 6 2 3" xfId="1239" xr:uid="{00000000-0005-0000-0000-000080010000}"/>
    <cellStyle name="一般 2 2 6 2 4" xfId="714" xr:uid="{00000000-0005-0000-0000-000081010000}"/>
    <cellStyle name="一般 2 2 6 2 5" xfId="1764" xr:uid="{00000000-0005-0000-0000-000082010000}"/>
    <cellStyle name="一般 2 2 6 2 6" xfId="2289" xr:uid="{00000000-0005-0000-0000-000083010000}"/>
    <cellStyle name="一般 2 2 6 3" xfId="324" xr:uid="{00000000-0005-0000-0000-000084010000}"/>
    <cellStyle name="一般 2 2 6 3 2" xfId="1374" xr:uid="{00000000-0005-0000-0000-000085010000}"/>
    <cellStyle name="一般 2 2 6 3 3" xfId="849" xr:uid="{00000000-0005-0000-0000-000086010000}"/>
    <cellStyle name="一般 2 2 6 3 4" xfId="1899" xr:uid="{00000000-0005-0000-0000-000087010000}"/>
    <cellStyle name="一般 2 2 6 3 5" xfId="2424" xr:uid="{00000000-0005-0000-0000-000088010000}"/>
    <cellStyle name="一般 2 2 6 4" xfId="1113" xr:uid="{00000000-0005-0000-0000-000089010000}"/>
    <cellStyle name="一般 2 2 6 5" xfId="588" xr:uid="{00000000-0005-0000-0000-00008A010000}"/>
    <cellStyle name="一般 2 2 6 6" xfId="1638" xr:uid="{00000000-0005-0000-0000-00008B010000}"/>
    <cellStyle name="一般 2 2 6 7" xfId="2163" xr:uid="{00000000-0005-0000-0000-00008C010000}"/>
    <cellStyle name="一般 2 2 7" xfId="72" xr:uid="{00000000-0005-0000-0000-00008D010000}"/>
    <cellStyle name="一般 2 2 7 2" xfId="198" xr:uid="{00000000-0005-0000-0000-00008E010000}"/>
    <cellStyle name="一般 2 2 7 2 2" xfId="459" xr:uid="{00000000-0005-0000-0000-00008F010000}"/>
    <cellStyle name="一般 2 2 7 2 2 2" xfId="1509" xr:uid="{00000000-0005-0000-0000-000090010000}"/>
    <cellStyle name="一般 2 2 7 2 2 3" xfId="984" xr:uid="{00000000-0005-0000-0000-000091010000}"/>
    <cellStyle name="一般 2 2 7 2 2 4" xfId="2034" xr:uid="{00000000-0005-0000-0000-000092010000}"/>
    <cellStyle name="一般 2 2 7 2 2 5" xfId="2559" xr:uid="{00000000-0005-0000-0000-000093010000}"/>
    <cellStyle name="一般 2 2 7 2 3" xfId="1248" xr:uid="{00000000-0005-0000-0000-000094010000}"/>
    <cellStyle name="一般 2 2 7 2 4" xfId="723" xr:uid="{00000000-0005-0000-0000-000095010000}"/>
    <cellStyle name="一般 2 2 7 2 5" xfId="1773" xr:uid="{00000000-0005-0000-0000-000096010000}"/>
    <cellStyle name="一般 2 2 7 2 6" xfId="2298" xr:uid="{00000000-0005-0000-0000-000097010000}"/>
    <cellStyle name="一般 2 2 7 3" xfId="333" xr:uid="{00000000-0005-0000-0000-000098010000}"/>
    <cellStyle name="一般 2 2 7 3 2" xfId="1383" xr:uid="{00000000-0005-0000-0000-000099010000}"/>
    <cellStyle name="一般 2 2 7 3 3" xfId="858" xr:uid="{00000000-0005-0000-0000-00009A010000}"/>
    <cellStyle name="一般 2 2 7 3 4" xfId="1908" xr:uid="{00000000-0005-0000-0000-00009B010000}"/>
    <cellStyle name="一般 2 2 7 3 5" xfId="2433" xr:uid="{00000000-0005-0000-0000-00009C010000}"/>
    <cellStyle name="一般 2 2 7 4" xfId="1122" xr:uid="{00000000-0005-0000-0000-00009D010000}"/>
    <cellStyle name="一般 2 2 7 5" xfId="597" xr:uid="{00000000-0005-0000-0000-00009E010000}"/>
    <cellStyle name="一般 2 2 7 6" xfId="1647" xr:uid="{00000000-0005-0000-0000-00009F010000}"/>
    <cellStyle name="一般 2 2 7 7" xfId="2172" xr:uid="{00000000-0005-0000-0000-0000A0010000}"/>
    <cellStyle name="一般 2 2 8" xfId="81" xr:uid="{00000000-0005-0000-0000-0000A1010000}"/>
    <cellStyle name="一般 2 2 8 2" xfId="207" xr:uid="{00000000-0005-0000-0000-0000A2010000}"/>
    <cellStyle name="一般 2 2 8 2 2" xfId="468" xr:uid="{00000000-0005-0000-0000-0000A3010000}"/>
    <cellStyle name="一般 2 2 8 2 2 2" xfId="1518" xr:uid="{00000000-0005-0000-0000-0000A4010000}"/>
    <cellStyle name="一般 2 2 8 2 2 3" xfId="993" xr:uid="{00000000-0005-0000-0000-0000A5010000}"/>
    <cellStyle name="一般 2 2 8 2 2 4" xfId="2043" xr:uid="{00000000-0005-0000-0000-0000A6010000}"/>
    <cellStyle name="一般 2 2 8 2 2 5" xfId="2568" xr:uid="{00000000-0005-0000-0000-0000A7010000}"/>
    <cellStyle name="一般 2 2 8 2 3" xfId="1257" xr:uid="{00000000-0005-0000-0000-0000A8010000}"/>
    <cellStyle name="一般 2 2 8 2 4" xfId="732" xr:uid="{00000000-0005-0000-0000-0000A9010000}"/>
    <cellStyle name="一般 2 2 8 2 5" xfId="1782" xr:uid="{00000000-0005-0000-0000-0000AA010000}"/>
    <cellStyle name="一般 2 2 8 2 6" xfId="2307" xr:uid="{00000000-0005-0000-0000-0000AB010000}"/>
    <cellStyle name="一般 2 2 8 3" xfId="342" xr:uid="{00000000-0005-0000-0000-0000AC010000}"/>
    <cellStyle name="一般 2 2 8 3 2" xfId="1392" xr:uid="{00000000-0005-0000-0000-0000AD010000}"/>
    <cellStyle name="一般 2 2 8 3 3" xfId="867" xr:uid="{00000000-0005-0000-0000-0000AE010000}"/>
    <cellStyle name="一般 2 2 8 3 4" xfId="1917" xr:uid="{00000000-0005-0000-0000-0000AF010000}"/>
    <cellStyle name="一般 2 2 8 3 5" xfId="2442" xr:uid="{00000000-0005-0000-0000-0000B0010000}"/>
    <cellStyle name="一般 2 2 8 4" xfId="1131" xr:uid="{00000000-0005-0000-0000-0000B1010000}"/>
    <cellStyle name="一般 2 2 8 5" xfId="606" xr:uid="{00000000-0005-0000-0000-0000B2010000}"/>
    <cellStyle name="一般 2 2 8 6" xfId="1656" xr:uid="{00000000-0005-0000-0000-0000B3010000}"/>
    <cellStyle name="一般 2 2 8 7" xfId="2181" xr:uid="{00000000-0005-0000-0000-0000B4010000}"/>
    <cellStyle name="一般 2 2 9" xfId="90" xr:uid="{00000000-0005-0000-0000-0000B5010000}"/>
    <cellStyle name="一般 2 2 9 2" xfId="216" xr:uid="{00000000-0005-0000-0000-0000B6010000}"/>
    <cellStyle name="一般 2 2 9 2 2" xfId="477" xr:uid="{00000000-0005-0000-0000-0000B7010000}"/>
    <cellStyle name="一般 2 2 9 2 2 2" xfId="1527" xr:uid="{00000000-0005-0000-0000-0000B8010000}"/>
    <cellStyle name="一般 2 2 9 2 2 3" xfId="1002" xr:uid="{00000000-0005-0000-0000-0000B9010000}"/>
    <cellStyle name="一般 2 2 9 2 2 4" xfId="2052" xr:uid="{00000000-0005-0000-0000-0000BA010000}"/>
    <cellStyle name="一般 2 2 9 2 2 5" xfId="2577" xr:uid="{00000000-0005-0000-0000-0000BB010000}"/>
    <cellStyle name="一般 2 2 9 2 3" xfId="1266" xr:uid="{00000000-0005-0000-0000-0000BC010000}"/>
    <cellStyle name="一般 2 2 9 2 4" xfId="741" xr:uid="{00000000-0005-0000-0000-0000BD010000}"/>
    <cellStyle name="一般 2 2 9 2 5" xfId="1791" xr:uid="{00000000-0005-0000-0000-0000BE010000}"/>
    <cellStyle name="一般 2 2 9 2 6" xfId="2316" xr:uid="{00000000-0005-0000-0000-0000BF010000}"/>
    <cellStyle name="一般 2 2 9 3" xfId="351" xr:uid="{00000000-0005-0000-0000-0000C0010000}"/>
    <cellStyle name="一般 2 2 9 3 2" xfId="1401" xr:uid="{00000000-0005-0000-0000-0000C1010000}"/>
    <cellStyle name="一般 2 2 9 3 3" xfId="876" xr:uid="{00000000-0005-0000-0000-0000C2010000}"/>
    <cellStyle name="一般 2 2 9 3 4" xfId="1926" xr:uid="{00000000-0005-0000-0000-0000C3010000}"/>
    <cellStyle name="一般 2 2 9 3 5" xfId="2451" xr:uid="{00000000-0005-0000-0000-0000C4010000}"/>
    <cellStyle name="一般 2 2 9 4" xfId="1140" xr:uid="{00000000-0005-0000-0000-0000C5010000}"/>
    <cellStyle name="一般 2 2 9 5" xfId="615" xr:uid="{00000000-0005-0000-0000-0000C6010000}"/>
    <cellStyle name="一般 2 2 9 6" xfId="1665" xr:uid="{00000000-0005-0000-0000-0000C7010000}"/>
    <cellStyle name="一般 2 2 9 7" xfId="2190" xr:uid="{00000000-0005-0000-0000-0000C8010000}"/>
    <cellStyle name="一般 2 20" xfId="6" xr:uid="{00000000-0005-0000-0000-0000C9010000}"/>
    <cellStyle name="一般 2 20 2" xfId="1056" xr:uid="{00000000-0005-0000-0000-0000CA010000}"/>
    <cellStyle name="一般 2 20 3" xfId="531" xr:uid="{00000000-0005-0000-0000-0000CB010000}"/>
    <cellStyle name="一般 2 20 4" xfId="1581" xr:uid="{00000000-0005-0000-0000-0000CC010000}"/>
    <cellStyle name="一般 2 20 5" xfId="2106" xr:uid="{00000000-0005-0000-0000-0000CD010000}"/>
    <cellStyle name="一般 2 21" xfId="1053" xr:uid="{00000000-0005-0000-0000-0000CE010000}"/>
    <cellStyle name="一般 2 22" xfId="528" xr:uid="{00000000-0005-0000-0000-0000CF010000}"/>
    <cellStyle name="一般 2 23" xfId="1578" xr:uid="{00000000-0005-0000-0000-0000D0010000}"/>
    <cellStyle name="一般 2 24" xfId="2103" xr:uid="{00000000-0005-0000-0000-0000D1010000}"/>
    <cellStyle name="一般 2 3" xfId="12" xr:uid="{00000000-0005-0000-0000-0000D2010000}"/>
    <cellStyle name="一般 2 3 10" xfId="102" xr:uid="{00000000-0005-0000-0000-0000D3010000}"/>
    <cellStyle name="一般 2 3 10 2" xfId="228" xr:uid="{00000000-0005-0000-0000-0000D4010000}"/>
    <cellStyle name="一般 2 3 10 2 2" xfId="489" xr:uid="{00000000-0005-0000-0000-0000D5010000}"/>
    <cellStyle name="一般 2 3 10 2 2 2" xfId="1539" xr:uid="{00000000-0005-0000-0000-0000D6010000}"/>
    <cellStyle name="一般 2 3 10 2 2 3" xfId="1014" xr:uid="{00000000-0005-0000-0000-0000D7010000}"/>
    <cellStyle name="一般 2 3 10 2 2 4" xfId="2064" xr:uid="{00000000-0005-0000-0000-0000D8010000}"/>
    <cellStyle name="一般 2 3 10 2 2 5" xfId="2589" xr:uid="{00000000-0005-0000-0000-0000D9010000}"/>
    <cellStyle name="一般 2 3 10 2 3" xfId="1278" xr:uid="{00000000-0005-0000-0000-0000DA010000}"/>
    <cellStyle name="一般 2 3 10 2 4" xfId="753" xr:uid="{00000000-0005-0000-0000-0000DB010000}"/>
    <cellStyle name="一般 2 3 10 2 5" xfId="1803" xr:uid="{00000000-0005-0000-0000-0000DC010000}"/>
    <cellStyle name="一般 2 3 10 2 6" xfId="2328" xr:uid="{00000000-0005-0000-0000-0000DD010000}"/>
    <cellStyle name="一般 2 3 10 3" xfId="363" xr:uid="{00000000-0005-0000-0000-0000DE010000}"/>
    <cellStyle name="一般 2 3 10 3 2" xfId="1413" xr:uid="{00000000-0005-0000-0000-0000DF010000}"/>
    <cellStyle name="一般 2 3 10 3 3" xfId="888" xr:uid="{00000000-0005-0000-0000-0000E0010000}"/>
    <cellStyle name="一般 2 3 10 3 4" xfId="1938" xr:uid="{00000000-0005-0000-0000-0000E1010000}"/>
    <cellStyle name="一般 2 3 10 3 5" xfId="2463" xr:uid="{00000000-0005-0000-0000-0000E2010000}"/>
    <cellStyle name="一般 2 3 10 4" xfId="1152" xr:uid="{00000000-0005-0000-0000-0000E3010000}"/>
    <cellStyle name="一般 2 3 10 5" xfId="627" xr:uid="{00000000-0005-0000-0000-0000E4010000}"/>
    <cellStyle name="一般 2 3 10 6" xfId="1677" xr:uid="{00000000-0005-0000-0000-0000E5010000}"/>
    <cellStyle name="一般 2 3 10 7" xfId="2202" xr:uid="{00000000-0005-0000-0000-0000E6010000}"/>
    <cellStyle name="一般 2 3 11" xfId="111" xr:uid="{00000000-0005-0000-0000-0000E7010000}"/>
    <cellStyle name="一般 2 3 11 2" xfId="237" xr:uid="{00000000-0005-0000-0000-0000E8010000}"/>
    <cellStyle name="一般 2 3 11 2 2" xfId="498" xr:uid="{00000000-0005-0000-0000-0000E9010000}"/>
    <cellStyle name="一般 2 3 11 2 2 2" xfId="1548" xr:uid="{00000000-0005-0000-0000-0000EA010000}"/>
    <cellStyle name="一般 2 3 11 2 2 3" xfId="1023" xr:uid="{00000000-0005-0000-0000-0000EB010000}"/>
    <cellStyle name="一般 2 3 11 2 2 4" xfId="2073" xr:uid="{00000000-0005-0000-0000-0000EC010000}"/>
    <cellStyle name="一般 2 3 11 2 2 5" xfId="2598" xr:uid="{00000000-0005-0000-0000-0000ED010000}"/>
    <cellStyle name="一般 2 3 11 2 3" xfId="1287" xr:uid="{00000000-0005-0000-0000-0000EE010000}"/>
    <cellStyle name="一般 2 3 11 2 4" xfId="762" xr:uid="{00000000-0005-0000-0000-0000EF010000}"/>
    <cellStyle name="一般 2 3 11 2 5" xfId="1812" xr:uid="{00000000-0005-0000-0000-0000F0010000}"/>
    <cellStyle name="一般 2 3 11 2 6" xfId="2337" xr:uid="{00000000-0005-0000-0000-0000F1010000}"/>
    <cellStyle name="一般 2 3 11 3" xfId="372" xr:uid="{00000000-0005-0000-0000-0000F2010000}"/>
    <cellStyle name="一般 2 3 11 3 2" xfId="1422" xr:uid="{00000000-0005-0000-0000-0000F3010000}"/>
    <cellStyle name="一般 2 3 11 3 3" xfId="897" xr:uid="{00000000-0005-0000-0000-0000F4010000}"/>
    <cellStyle name="一般 2 3 11 3 4" xfId="1947" xr:uid="{00000000-0005-0000-0000-0000F5010000}"/>
    <cellStyle name="一般 2 3 11 3 5" xfId="2472" xr:uid="{00000000-0005-0000-0000-0000F6010000}"/>
    <cellStyle name="一般 2 3 11 4" xfId="1161" xr:uid="{00000000-0005-0000-0000-0000F7010000}"/>
    <cellStyle name="一般 2 3 11 5" xfId="636" xr:uid="{00000000-0005-0000-0000-0000F8010000}"/>
    <cellStyle name="一般 2 3 11 6" xfId="1686" xr:uid="{00000000-0005-0000-0000-0000F9010000}"/>
    <cellStyle name="一般 2 3 11 7" xfId="2211" xr:uid="{00000000-0005-0000-0000-0000FA010000}"/>
    <cellStyle name="一般 2 3 12" xfId="120" xr:uid="{00000000-0005-0000-0000-0000FB010000}"/>
    <cellStyle name="一般 2 3 12 2" xfId="246" xr:uid="{00000000-0005-0000-0000-0000FC010000}"/>
    <cellStyle name="一般 2 3 12 2 2" xfId="507" xr:uid="{00000000-0005-0000-0000-0000FD010000}"/>
    <cellStyle name="一般 2 3 12 2 2 2" xfId="1557" xr:uid="{00000000-0005-0000-0000-0000FE010000}"/>
    <cellStyle name="一般 2 3 12 2 2 3" xfId="1032" xr:uid="{00000000-0005-0000-0000-0000FF010000}"/>
    <cellStyle name="一般 2 3 12 2 2 4" xfId="2082" xr:uid="{00000000-0005-0000-0000-000000020000}"/>
    <cellStyle name="一般 2 3 12 2 2 5" xfId="2607" xr:uid="{00000000-0005-0000-0000-000001020000}"/>
    <cellStyle name="一般 2 3 12 2 3" xfId="1296" xr:uid="{00000000-0005-0000-0000-000002020000}"/>
    <cellStyle name="一般 2 3 12 2 4" xfId="771" xr:uid="{00000000-0005-0000-0000-000003020000}"/>
    <cellStyle name="一般 2 3 12 2 5" xfId="1821" xr:uid="{00000000-0005-0000-0000-000004020000}"/>
    <cellStyle name="一般 2 3 12 2 6" xfId="2346" xr:uid="{00000000-0005-0000-0000-000005020000}"/>
    <cellStyle name="一般 2 3 12 3" xfId="381" xr:uid="{00000000-0005-0000-0000-000006020000}"/>
    <cellStyle name="一般 2 3 12 3 2" xfId="1431" xr:uid="{00000000-0005-0000-0000-000007020000}"/>
    <cellStyle name="一般 2 3 12 3 3" xfId="906" xr:uid="{00000000-0005-0000-0000-000008020000}"/>
    <cellStyle name="一般 2 3 12 3 4" xfId="1956" xr:uid="{00000000-0005-0000-0000-000009020000}"/>
    <cellStyle name="一般 2 3 12 3 5" xfId="2481" xr:uid="{00000000-0005-0000-0000-00000A020000}"/>
    <cellStyle name="一般 2 3 12 4" xfId="1170" xr:uid="{00000000-0005-0000-0000-00000B020000}"/>
    <cellStyle name="一般 2 3 12 5" xfId="645" xr:uid="{00000000-0005-0000-0000-00000C020000}"/>
    <cellStyle name="一般 2 3 12 6" xfId="1695" xr:uid="{00000000-0005-0000-0000-00000D020000}"/>
    <cellStyle name="一般 2 3 12 7" xfId="2220" xr:uid="{00000000-0005-0000-0000-00000E020000}"/>
    <cellStyle name="一般 2 3 13" xfId="129" xr:uid="{00000000-0005-0000-0000-00000F020000}"/>
    <cellStyle name="一般 2 3 13 2" xfId="255" xr:uid="{00000000-0005-0000-0000-000010020000}"/>
    <cellStyle name="一般 2 3 13 2 2" xfId="516" xr:uid="{00000000-0005-0000-0000-000011020000}"/>
    <cellStyle name="一般 2 3 13 2 2 2" xfId="1566" xr:uid="{00000000-0005-0000-0000-000012020000}"/>
    <cellStyle name="一般 2 3 13 2 2 3" xfId="1041" xr:uid="{00000000-0005-0000-0000-000013020000}"/>
    <cellStyle name="一般 2 3 13 2 2 4" xfId="2091" xr:uid="{00000000-0005-0000-0000-000014020000}"/>
    <cellStyle name="一般 2 3 13 2 2 5" xfId="2616" xr:uid="{00000000-0005-0000-0000-000015020000}"/>
    <cellStyle name="一般 2 3 13 2 3" xfId="1305" xr:uid="{00000000-0005-0000-0000-000016020000}"/>
    <cellStyle name="一般 2 3 13 2 4" xfId="780" xr:uid="{00000000-0005-0000-0000-000017020000}"/>
    <cellStyle name="一般 2 3 13 2 5" xfId="1830" xr:uid="{00000000-0005-0000-0000-000018020000}"/>
    <cellStyle name="一般 2 3 13 2 6" xfId="2355" xr:uid="{00000000-0005-0000-0000-000019020000}"/>
    <cellStyle name="一般 2 3 13 3" xfId="390" xr:uid="{00000000-0005-0000-0000-00001A020000}"/>
    <cellStyle name="一般 2 3 13 3 2" xfId="1440" xr:uid="{00000000-0005-0000-0000-00001B020000}"/>
    <cellStyle name="一般 2 3 13 3 3" xfId="915" xr:uid="{00000000-0005-0000-0000-00001C020000}"/>
    <cellStyle name="一般 2 3 13 3 4" xfId="1965" xr:uid="{00000000-0005-0000-0000-00001D020000}"/>
    <cellStyle name="一般 2 3 13 3 5" xfId="2490" xr:uid="{00000000-0005-0000-0000-00001E020000}"/>
    <cellStyle name="一般 2 3 13 4" xfId="1179" xr:uid="{00000000-0005-0000-0000-00001F020000}"/>
    <cellStyle name="一般 2 3 13 5" xfId="654" xr:uid="{00000000-0005-0000-0000-000020020000}"/>
    <cellStyle name="一般 2 3 13 6" xfId="1704" xr:uid="{00000000-0005-0000-0000-000021020000}"/>
    <cellStyle name="一般 2 3 13 7" xfId="2229" xr:uid="{00000000-0005-0000-0000-000022020000}"/>
    <cellStyle name="一般 2 3 14" xfId="138" xr:uid="{00000000-0005-0000-0000-000023020000}"/>
    <cellStyle name="一般 2 3 14 2" xfId="264" xr:uid="{00000000-0005-0000-0000-000024020000}"/>
    <cellStyle name="一般 2 3 14 2 2" xfId="525" xr:uid="{00000000-0005-0000-0000-000025020000}"/>
    <cellStyle name="一般 2 3 14 2 2 2" xfId="1575" xr:uid="{00000000-0005-0000-0000-000026020000}"/>
    <cellStyle name="一般 2 3 14 2 2 3" xfId="1050" xr:uid="{00000000-0005-0000-0000-000027020000}"/>
    <cellStyle name="一般 2 3 14 2 2 4" xfId="2100" xr:uid="{00000000-0005-0000-0000-000028020000}"/>
    <cellStyle name="一般 2 3 14 2 2 5" xfId="2625" xr:uid="{00000000-0005-0000-0000-000029020000}"/>
    <cellStyle name="一般 2 3 14 2 3" xfId="1314" xr:uid="{00000000-0005-0000-0000-00002A020000}"/>
    <cellStyle name="一般 2 3 14 2 4" xfId="789" xr:uid="{00000000-0005-0000-0000-00002B020000}"/>
    <cellStyle name="一般 2 3 14 2 5" xfId="1839" xr:uid="{00000000-0005-0000-0000-00002C020000}"/>
    <cellStyle name="一般 2 3 14 2 6" xfId="2364" xr:uid="{00000000-0005-0000-0000-00002D020000}"/>
    <cellStyle name="一般 2 3 14 3" xfId="399" xr:uid="{00000000-0005-0000-0000-00002E020000}"/>
    <cellStyle name="一般 2 3 14 3 2" xfId="1449" xr:uid="{00000000-0005-0000-0000-00002F020000}"/>
    <cellStyle name="一般 2 3 14 3 3" xfId="924" xr:uid="{00000000-0005-0000-0000-000030020000}"/>
    <cellStyle name="一般 2 3 14 3 4" xfId="1974" xr:uid="{00000000-0005-0000-0000-000031020000}"/>
    <cellStyle name="一般 2 3 14 3 5" xfId="2499" xr:uid="{00000000-0005-0000-0000-000032020000}"/>
    <cellStyle name="一般 2 3 14 4" xfId="1188" xr:uid="{00000000-0005-0000-0000-000033020000}"/>
    <cellStyle name="一般 2 3 14 5" xfId="663" xr:uid="{00000000-0005-0000-0000-000034020000}"/>
    <cellStyle name="一般 2 3 14 6" xfId="1713" xr:uid="{00000000-0005-0000-0000-000035020000}"/>
    <cellStyle name="一般 2 3 14 7" xfId="2238" xr:uid="{00000000-0005-0000-0000-000036020000}"/>
    <cellStyle name="一般 2 3 15" xfId="21" xr:uid="{00000000-0005-0000-0000-000037020000}"/>
    <cellStyle name="一般 2 3 15 2" xfId="282" xr:uid="{00000000-0005-0000-0000-000038020000}"/>
    <cellStyle name="一般 2 3 15 2 2" xfId="1332" xr:uid="{00000000-0005-0000-0000-000039020000}"/>
    <cellStyle name="一般 2 3 15 2 3" xfId="807" xr:uid="{00000000-0005-0000-0000-00003A020000}"/>
    <cellStyle name="一般 2 3 15 2 4" xfId="1857" xr:uid="{00000000-0005-0000-0000-00003B020000}"/>
    <cellStyle name="一般 2 3 15 2 5" xfId="2382" xr:uid="{00000000-0005-0000-0000-00003C020000}"/>
    <cellStyle name="一般 2 3 15 3" xfId="1071" xr:uid="{00000000-0005-0000-0000-00003D020000}"/>
    <cellStyle name="一般 2 3 15 4" xfId="546" xr:uid="{00000000-0005-0000-0000-00003E020000}"/>
    <cellStyle name="一般 2 3 15 5" xfId="1596" xr:uid="{00000000-0005-0000-0000-00003F020000}"/>
    <cellStyle name="一般 2 3 15 6" xfId="2121" xr:uid="{00000000-0005-0000-0000-000040020000}"/>
    <cellStyle name="一般 2 3 16" xfId="147" xr:uid="{00000000-0005-0000-0000-000041020000}"/>
    <cellStyle name="一般 2 3 16 2" xfId="408" xr:uid="{00000000-0005-0000-0000-000042020000}"/>
    <cellStyle name="一般 2 3 16 2 2" xfId="1458" xr:uid="{00000000-0005-0000-0000-000043020000}"/>
    <cellStyle name="一般 2 3 16 2 3" xfId="933" xr:uid="{00000000-0005-0000-0000-000044020000}"/>
    <cellStyle name="一般 2 3 16 2 4" xfId="1983" xr:uid="{00000000-0005-0000-0000-000045020000}"/>
    <cellStyle name="一般 2 3 16 2 5" xfId="2508" xr:uid="{00000000-0005-0000-0000-000046020000}"/>
    <cellStyle name="一般 2 3 16 3" xfId="1197" xr:uid="{00000000-0005-0000-0000-000047020000}"/>
    <cellStyle name="一般 2 3 16 4" xfId="672" xr:uid="{00000000-0005-0000-0000-000048020000}"/>
    <cellStyle name="一般 2 3 16 5" xfId="1722" xr:uid="{00000000-0005-0000-0000-000049020000}"/>
    <cellStyle name="一般 2 3 16 6" xfId="2247" xr:uid="{00000000-0005-0000-0000-00004A020000}"/>
    <cellStyle name="一般 2 3 17" xfId="273" xr:uid="{00000000-0005-0000-0000-00004B020000}"/>
    <cellStyle name="一般 2 3 17 2" xfId="1323" xr:uid="{00000000-0005-0000-0000-00004C020000}"/>
    <cellStyle name="一般 2 3 17 3" xfId="798" xr:uid="{00000000-0005-0000-0000-00004D020000}"/>
    <cellStyle name="一般 2 3 17 4" xfId="1848" xr:uid="{00000000-0005-0000-0000-00004E020000}"/>
    <cellStyle name="一般 2 3 17 5" xfId="2373" xr:uid="{00000000-0005-0000-0000-00004F020000}"/>
    <cellStyle name="一般 2 3 18" xfId="1062" xr:uid="{00000000-0005-0000-0000-000050020000}"/>
    <cellStyle name="一般 2 3 19" xfId="537" xr:uid="{00000000-0005-0000-0000-000051020000}"/>
    <cellStyle name="一般 2 3 2" xfId="31" xr:uid="{00000000-0005-0000-0000-000052020000}"/>
    <cellStyle name="一般 2 3 2 2" xfId="157" xr:uid="{00000000-0005-0000-0000-000053020000}"/>
    <cellStyle name="一般 2 3 2 2 2" xfId="418" xr:uid="{00000000-0005-0000-0000-000054020000}"/>
    <cellStyle name="一般 2 3 2 2 2 2" xfId="1468" xr:uid="{00000000-0005-0000-0000-000055020000}"/>
    <cellStyle name="一般 2 3 2 2 2 3" xfId="943" xr:uid="{00000000-0005-0000-0000-000056020000}"/>
    <cellStyle name="一般 2 3 2 2 2 4" xfId="1993" xr:uid="{00000000-0005-0000-0000-000057020000}"/>
    <cellStyle name="一般 2 3 2 2 2 5" xfId="2518" xr:uid="{00000000-0005-0000-0000-000058020000}"/>
    <cellStyle name="一般 2 3 2 2 3" xfId="1207" xr:uid="{00000000-0005-0000-0000-000059020000}"/>
    <cellStyle name="一般 2 3 2 2 4" xfId="682" xr:uid="{00000000-0005-0000-0000-00005A020000}"/>
    <cellStyle name="一般 2 3 2 2 5" xfId="1732" xr:uid="{00000000-0005-0000-0000-00005B020000}"/>
    <cellStyle name="一般 2 3 2 2 6" xfId="2257" xr:uid="{00000000-0005-0000-0000-00005C020000}"/>
    <cellStyle name="一般 2 3 2 3" xfId="292" xr:uid="{00000000-0005-0000-0000-00005D020000}"/>
    <cellStyle name="一般 2 3 2 3 2" xfId="1342" xr:uid="{00000000-0005-0000-0000-00005E020000}"/>
    <cellStyle name="一般 2 3 2 3 3" xfId="817" xr:uid="{00000000-0005-0000-0000-00005F020000}"/>
    <cellStyle name="一般 2 3 2 3 4" xfId="1867" xr:uid="{00000000-0005-0000-0000-000060020000}"/>
    <cellStyle name="一般 2 3 2 3 5" xfId="2392" xr:uid="{00000000-0005-0000-0000-000061020000}"/>
    <cellStyle name="一般 2 3 2 4" xfId="1081" xr:uid="{00000000-0005-0000-0000-000062020000}"/>
    <cellStyle name="一般 2 3 2 5" xfId="556" xr:uid="{00000000-0005-0000-0000-000063020000}"/>
    <cellStyle name="一般 2 3 2 6" xfId="1606" xr:uid="{00000000-0005-0000-0000-000064020000}"/>
    <cellStyle name="一般 2 3 2 7" xfId="2131" xr:uid="{00000000-0005-0000-0000-000065020000}"/>
    <cellStyle name="一般 2 3 20" xfId="1587" xr:uid="{00000000-0005-0000-0000-000066020000}"/>
    <cellStyle name="一般 2 3 21" xfId="2112" xr:uid="{00000000-0005-0000-0000-000067020000}"/>
    <cellStyle name="一般 2 3 3" xfId="40" xr:uid="{00000000-0005-0000-0000-000068020000}"/>
    <cellStyle name="一般 2 3 3 2" xfId="166" xr:uid="{00000000-0005-0000-0000-000069020000}"/>
    <cellStyle name="一般 2 3 3 2 2" xfId="427" xr:uid="{00000000-0005-0000-0000-00006A020000}"/>
    <cellStyle name="一般 2 3 3 2 2 2" xfId="1477" xr:uid="{00000000-0005-0000-0000-00006B020000}"/>
    <cellStyle name="一般 2 3 3 2 2 3" xfId="952" xr:uid="{00000000-0005-0000-0000-00006C020000}"/>
    <cellStyle name="一般 2 3 3 2 2 4" xfId="2002" xr:uid="{00000000-0005-0000-0000-00006D020000}"/>
    <cellStyle name="一般 2 3 3 2 2 5" xfId="2527" xr:uid="{00000000-0005-0000-0000-00006E020000}"/>
    <cellStyle name="一般 2 3 3 2 3" xfId="1216" xr:uid="{00000000-0005-0000-0000-00006F020000}"/>
    <cellStyle name="一般 2 3 3 2 4" xfId="691" xr:uid="{00000000-0005-0000-0000-000070020000}"/>
    <cellStyle name="一般 2 3 3 2 5" xfId="1741" xr:uid="{00000000-0005-0000-0000-000071020000}"/>
    <cellStyle name="一般 2 3 3 2 6" xfId="2266" xr:uid="{00000000-0005-0000-0000-000072020000}"/>
    <cellStyle name="一般 2 3 3 3" xfId="301" xr:uid="{00000000-0005-0000-0000-000073020000}"/>
    <cellStyle name="一般 2 3 3 3 2" xfId="1351" xr:uid="{00000000-0005-0000-0000-000074020000}"/>
    <cellStyle name="一般 2 3 3 3 3" xfId="826" xr:uid="{00000000-0005-0000-0000-000075020000}"/>
    <cellStyle name="一般 2 3 3 3 4" xfId="1876" xr:uid="{00000000-0005-0000-0000-000076020000}"/>
    <cellStyle name="一般 2 3 3 3 5" xfId="2401" xr:uid="{00000000-0005-0000-0000-000077020000}"/>
    <cellStyle name="一般 2 3 3 4" xfId="1090" xr:uid="{00000000-0005-0000-0000-000078020000}"/>
    <cellStyle name="一般 2 3 3 5" xfId="565" xr:uid="{00000000-0005-0000-0000-000079020000}"/>
    <cellStyle name="一般 2 3 3 6" xfId="1615" xr:uid="{00000000-0005-0000-0000-00007A020000}"/>
    <cellStyle name="一般 2 3 3 7" xfId="2140" xr:uid="{00000000-0005-0000-0000-00007B020000}"/>
    <cellStyle name="一般 2 3 4" xfId="34" xr:uid="{00000000-0005-0000-0000-00007C020000}"/>
    <cellStyle name="一般 2 3 4 2" xfId="160" xr:uid="{00000000-0005-0000-0000-00007D020000}"/>
    <cellStyle name="一般 2 3 4 2 2" xfId="421" xr:uid="{00000000-0005-0000-0000-00007E020000}"/>
    <cellStyle name="一般 2 3 4 2 2 2" xfId="1471" xr:uid="{00000000-0005-0000-0000-00007F020000}"/>
    <cellStyle name="一般 2 3 4 2 2 3" xfId="946" xr:uid="{00000000-0005-0000-0000-000080020000}"/>
    <cellStyle name="一般 2 3 4 2 2 4" xfId="1996" xr:uid="{00000000-0005-0000-0000-000081020000}"/>
    <cellStyle name="一般 2 3 4 2 2 5" xfId="2521" xr:uid="{00000000-0005-0000-0000-000082020000}"/>
    <cellStyle name="一般 2 3 4 2 3" xfId="1210" xr:uid="{00000000-0005-0000-0000-000083020000}"/>
    <cellStyle name="一般 2 3 4 2 4" xfId="685" xr:uid="{00000000-0005-0000-0000-000084020000}"/>
    <cellStyle name="一般 2 3 4 2 5" xfId="1735" xr:uid="{00000000-0005-0000-0000-000085020000}"/>
    <cellStyle name="一般 2 3 4 2 6" xfId="2260" xr:uid="{00000000-0005-0000-0000-000086020000}"/>
    <cellStyle name="一般 2 3 4 3" xfId="295" xr:uid="{00000000-0005-0000-0000-000087020000}"/>
    <cellStyle name="一般 2 3 4 3 2" xfId="1345" xr:uid="{00000000-0005-0000-0000-000088020000}"/>
    <cellStyle name="一般 2 3 4 3 3" xfId="820" xr:uid="{00000000-0005-0000-0000-000089020000}"/>
    <cellStyle name="一般 2 3 4 3 4" xfId="1870" xr:uid="{00000000-0005-0000-0000-00008A020000}"/>
    <cellStyle name="一般 2 3 4 3 5" xfId="2395" xr:uid="{00000000-0005-0000-0000-00008B020000}"/>
    <cellStyle name="一般 2 3 4 4" xfId="1084" xr:uid="{00000000-0005-0000-0000-00008C020000}"/>
    <cellStyle name="一般 2 3 4 5" xfId="559" xr:uid="{00000000-0005-0000-0000-00008D020000}"/>
    <cellStyle name="一般 2 3 4 6" xfId="1609" xr:uid="{00000000-0005-0000-0000-00008E020000}"/>
    <cellStyle name="一般 2 3 4 7" xfId="2134" xr:uid="{00000000-0005-0000-0000-00008F020000}"/>
    <cellStyle name="一般 2 3 5" xfId="57" xr:uid="{00000000-0005-0000-0000-000090020000}"/>
    <cellStyle name="一般 2 3 5 2" xfId="183" xr:uid="{00000000-0005-0000-0000-000091020000}"/>
    <cellStyle name="一般 2 3 5 2 2" xfId="444" xr:uid="{00000000-0005-0000-0000-000092020000}"/>
    <cellStyle name="一般 2 3 5 2 2 2" xfId="1494" xr:uid="{00000000-0005-0000-0000-000093020000}"/>
    <cellStyle name="一般 2 3 5 2 2 3" xfId="969" xr:uid="{00000000-0005-0000-0000-000094020000}"/>
    <cellStyle name="一般 2 3 5 2 2 4" xfId="2019" xr:uid="{00000000-0005-0000-0000-000095020000}"/>
    <cellStyle name="一般 2 3 5 2 2 5" xfId="2544" xr:uid="{00000000-0005-0000-0000-000096020000}"/>
    <cellStyle name="一般 2 3 5 2 3" xfId="1233" xr:uid="{00000000-0005-0000-0000-000097020000}"/>
    <cellStyle name="一般 2 3 5 2 4" xfId="708" xr:uid="{00000000-0005-0000-0000-000098020000}"/>
    <cellStyle name="一般 2 3 5 2 5" xfId="1758" xr:uid="{00000000-0005-0000-0000-000099020000}"/>
    <cellStyle name="一般 2 3 5 2 6" xfId="2283" xr:uid="{00000000-0005-0000-0000-00009A020000}"/>
    <cellStyle name="一般 2 3 5 3" xfId="318" xr:uid="{00000000-0005-0000-0000-00009B020000}"/>
    <cellStyle name="一般 2 3 5 3 2" xfId="1368" xr:uid="{00000000-0005-0000-0000-00009C020000}"/>
    <cellStyle name="一般 2 3 5 3 3" xfId="843" xr:uid="{00000000-0005-0000-0000-00009D020000}"/>
    <cellStyle name="一般 2 3 5 3 4" xfId="1893" xr:uid="{00000000-0005-0000-0000-00009E020000}"/>
    <cellStyle name="一般 2 3 5 3 5" xfId="2418" xr:uid="{00000000-0005-0000-0000-00009F020000}"/>
    <cellStyle name="一般 2 3 5 4" xfId="1107" xr:uid="{00000000-0005-0000-0000-0000A0020000}"/>
    <cellStyle name="一般 2 3 5 5" xfId="582" xr:uid="{00000000-0005-0000-0000-0000A1020000}"/>
    <cellStyle name="一般 2 3 5 6" xfId="1632" xr:uid="{00000000-0005-0000-0000-0000A2020000}"/>
    <cellStyle name="一般 2 3 5 7" xfId="2157" xr:uid="{00000000-0005-0000-0000-0000A3020000}"/>
    <cellStyle name="一般 2 3 6" xfId="66" xr:uid="{00000000-0005-0000-0000-0000A4020000}"/>
    <cellStyle name="一般 2 3 6 2" xfId="192" xr:uid="{00000000-0005-0000-0000-0000A5020000}"/>
    <cellStyle name="一般 2 3 6 2 2" xfId="453" xr:uid="{00000000-0005-0000-0000-0000A6020000}"/>
    <cellStyle name="一般 2 3 6 2 2 2" xfId="1503" xr:uid="{00000000-0005-0000-0000-0000A7020000}"/>
    <cellStyle name="一般 2 3 6 2 2 3" xfId="978" xr:uid="{00000000-0005-0000-0000-0000A8020000}"/>
    <cellStyle name="一般 2 3 6 2 2 4" xfId="2028" xr:uid="{00000000-0005-0000-0000-0000A9020000}"/>
    <cellStyle name="一般 2 3 6 2 2 5" xfId="2553" xr:uid="{00000000-0005-0000-0000-0000AA020000}"/>
    <cellStyle name="一般 2 3 6 2 3" xfId="1242" xr:uid="{00000000-0005-0000-0000-0000AB020000}"/>
    <cellStyle name="一般 2 3 6 2 4" xfId="717" xr:uid="{00000000-0005-0000-0000-0000AC020000}"/>
    <cellStyle name="一般 2 3 6 2 5" xfId="1767" xr:uid="{00000000-0005-0000-0000-0000AD020000}"/>
    <cellStyle name="一般 2 3 6 2 6" xfId="2292" xr:uid="{00000000-0005-0000-0000-0000AE020000}"/>
    <cellStyle name="一般 2 3 6 3" xfId="327" xr:uid="{00000000-0005-0000-0000-0000AF020000}"/>
    <cellStyle name="一般 2 3 6 3 2" xfId="1377" xr:uid="{00000000-0005-0000-0000-0000B0020000}"/>
    <cellStyle name="一般 2 3 6 3 3" xfId="852" xr:uid="{00000000-0005-0000-0000-0000B1020000}"/>
    <cellStyle name="一般 2 3 6 3 4" xfId="1902" xr:uid="{00000000-0005-0000-0000-0000B2020000}"/>
    <cellStyle name="一般 2 3 6 3 5" xfId="2427" xr:uid="{00000000-0005-0000-0000-0000B3020000}"/>
    <cellStyle name="一般 2 3 6 4" xfId="1116" xr:uid="{00000000-0005-0000-0000-0000B4020000}"/>
    <cellStyle name="一般 2 3 6 5" xfId="591" xr:uid="{00000000-0005-0000-0000-0000B5020000}"/>
    <cellStyle name="一般 2 3 6 6" xfId="1641" xr:uid="{00000000-0005-0000-0000-0000B6020000}"/>
    <cellStyle name="一般 2 3 6 7" xfId="2166" xr:uid="{00000000-0005-0000-0000-0000B7020000}"/>
    <cellStyle name="一般 2 3 7" xfId="75" xr:uid="{00000000-0005-0000-0000-0000B8020000}"/>
    <cellStyle name="一般 2 3 7 2" xfId="201" xr:uid="{00000000-0005-0000-0000-0000B9020000}"/>
    <cellStyle name="一般 2 3 7 2 2" xfId="462" xr:uid="{00000000-0005-0000-0000-0000BA020000}"/>
    <cellStyle name="一般 2 3 7 2 2 2" xfId="1512" xr:uid="{00000000-0005-0000-0000-0000BB020000}"/>
    <cellStyle name="一般 2 3 7 2 2 3" xfId="987" xr:uid="{00000000-0005-0000-0000-0000BC020000}"/>
    <cellStyle name="一般 2 3 7 2 2 4" xfId="2037" xr:uid="{00000000-0005-0000-0000-0000BD020000}"/>
    <cellStyle name="一般 2 3 7 2 2 5" xfId="2562" xr:uid="{00000000-0005-0000-0000-0000BE020000}"/>
    <cellStyle name="一般 2 3 7 2 3" xfId="1251" xr:uid="{00000000-0005-0000-0000-0000BF020000}"/>
    <cellStyle name="一般 2 3 7 2 4" xfId="726" xr:uid="{00000000-0005-0000-0000-0000C0020000}"/>
    <cellStyle name="一般 2 3 7 2 5" xfId="1776" xr:uid="{00000000-0005-0000-0000-0000C1020000}"/>
    <cellStyle name="一般 2 3 7 2 6" xfId="2301" xr:uid="{00000000-0005-0000-0000-0000C2020000}"/>
    <cellStyle name="一般 2 3 7 3" xfId="336" xr:uid="{00000000-0005-0000-0000-0000C3020000}"/>
    <cellStyle name="一般 2 3 7 3 2" xfId="1386" xr:uid="{00000000-0005-0000-0000-0000C4020000}"/>
    <cellStyle name="一般 2 3 7 3 3" xfId="861" xr:uid="{00000000-0005-0000-0000-0000C5020000}"/>
    <cellStyle name="一般 2 3 7 3 4" xfId="1911" xr:uid="{00000000-0005-0000-0000-0000C6020000}"/>
    <cellStyle name="一般 2 3 7 3 5" xfId="2436" xr:uid="{00000000-0005-0000-0000-0000C7020000}"/>
    <cellStyle name="一般 2 3 7 4" xfId="1125" xr:uid="{00000000-0005-0000-0000-0000C8020000}"/>
    <cellStyle name="一般 2 3 7 5" xfId="600" xr:uid="{00000000-0005-0000-0000-0000C9020000}"/>
    <cellStyle name="一般 2 3 7 6" xfId="1650" xr:uid="{00000000-0005-0000-0000-0000CA020000}"/>
    <cellStyle name="一般 2 3 7 7" xfId="2175" xr:uid="{00000000-0005-0000-0000-0000CB020000}"/>
    <cellStyle name="一般 2 3 8" xfId="84" xr:uid="{00000000-0005-0000-0000-0000CC020000}"/>
    <cellStyle name="一般 2 3 8 2" xfId="210" xr:uid="{00000000-0005-0000-0000-0000CD020000}"/>
    <cellStyle name="一般 2 3 8 2 2" xfId="471" xr:uid="{00000000-0005-0000-0000-0000CE020000}"/>
    <cellStyle name="一般 2 3 8 2 2 2" xfId="1521" xr:uid="{00000000-0005-0000-0000-0000CF020000}"/>
    <cellStyle name="一般 2 3 8 2 2 3" xfId="996" xr:uid="{00000000-0005-0000-0000-0000D0020000}"/>
    <cellStyle name="一般 2 3 8 2 2 4" xfId="2046" xr:uid="{00000000-0005-0000-0000-0000D1020000}"/>
    <cellStyle name="一般 2 3 8 2 2 5" xfId="2571" xr:uid="{00000000-0005-0000-0000-0000D2020000}"/>
    <cellStyle name="一般 2 3 8 2 3" xfId="1260" xr:uid="{00000000-0005-0000-0000-0000D3020000}"/>
    <cellStyle name="一般 2 3 8 2 4" xfId="735" xr:uid="{00000000-0005-0000-0000-0000D4020000}"/>
    <cellStyle name="一般 2 3 8 2 5" xfId="1785" xr:uid="{00000000-0005-0000-0000-0000D5020000}"/>
    <cellStyle name="一般 2 3 8 2 6" xfId="2310" xr:uid="{00000000-0005-0000-0000-0000D6020000}"/>
    <cellStyle name="一般 2 3 8 3" xfId="345" xr:uid="{00000000-0005-0000-0000-0000D7020000}"/>
    <cellStyle name="一般 2 3 8 3 2" xfId="1395" xr:uid="{00000000-0005-0000-0000-0000D8020000}"/>
    <cellStyle name="一般 2 3 8 3 3" xfId="870" xr:uid="{00000000-0005-0000-0000-0000D9020000}"/>
    <cellStyle name="一般 2 3 8 3 4" xfId="1920" xr:uid="{00000000-0005-0000-0000-0000DA020000}"/>
    <cellStyle name="一般 2 3 8 3 5" xfId="2445" xr:uid="{00000000-0005-0000-0000-0000DB020000}"/>
    <cellStyle name="一般 2 3 8 4" xfId="1134" xr:uid="{00000000-0005-0000-0000-0000DC020000}"/>
    <cellStyle name="一般 2 3 8 5" xfId="609" xr:uid="{00000000-0005-0000-0000-0000DD020000}"/>
    <cellStyle name="一般 2 3 8 6" xfId="1659" xr:uid="{00000000-0005-0000-0000-0000DE020000}"/>
    <cellStyle name="一般 2 3 8 7" xfId="2184" xr:uid="{00000000-0005-0000-0000-0000DF020000}"/>
    <cellStyle name="一般 2 3 9" xfId="93" xr:uid="{00000000-0005-0000-0000-0000E0020000}"/>
    <cellStyle name="一般 2 3 9 2" xfId="219" xr:uid="{00000000-0005-0000-0000-0000E1020000}"/>
    <cellStyle name="一般 2 3 9 2 2" xfId="480" xr:uid="{00000000-0005-0000-0000-0000E2020000}"/>
    <cellStyle name="一般 2 3 9 2 2 2" xfId="1530" xr:uid="{00000000-0005-0000-0000-0000E3020000}"/>
    <cellStyle name="一般 2 3 9 2 2 3" xfId="1005" xr:uid="{00000000-0005-0000-0000-0000E4020000}"/>
    <cellStyle name="一般 2 3 9 2 2 4" xfId="2055" xr:uid="{00000000-0005-0000-0000-0000E5020000}"/>
    <cellStyle name="一般 2 3 9 2 2 5" xfId="2580" xr:uid="{00000000-0005-0000-0000-0000E6020000}"/>
    <cellStyle name="一般 2 3 9 2 3" xfId="1269" xr:uid="{00000000-0005-0000-0000-0000E7020000}"/>
    <cellStyle name="一般 2 3 9 2 4" xfId="744" xr:uid="{00000000-0005-0000-0000-0000E8020000}"/>
    <cellStyle name="一般 2 3 9 2 5" xfId="1794" xr:uid="{00000000-0005-0000-0000-0000E9020000}"/>
    <cellStyle name="一般 2 3 9 2 6" xfId="2319" xr:uid="{00000000-0005-0000-0000-0000EA020000}"/>
    <cellStyle name="一般 2 3 9 3" xfId="354" xr:uid="{00000000-0005-0000-0000-0000EB020000}"/>
    <cellStyle name="一般 2 3 9 3 2" xfId="1404" xr:uid="{00000000-0005-0000-0000-0000EC020000}"/>
    <cellStyle name="一般 2 3 9 3 3" xfId="879" xr:uid="{00000000-0005-0000-0000-0000ED020000}"/>
    <cellStyle name="一般 2 3 9 3 4" xfId="1929" xr:uid="{00000000-0005-0000-0000-0000EE020000}"/>
    <cellStyle name="一般 2 3 9 3 5" xfId="2454" xr:uid="{00000000-0005-0000-0000-0000EF020000}"/>
    <cellStyle name="一般 2 3 9 4" xfId="1143" xr:uid="{00000000-0005-0000-0000-0000F0020000}"/>
    <cellStyle name="一般 2 3 9 5" xfId="618" xr:uid="{00000000-0005-0000-0000-0000F1020000}"/>
    <cellStyle name="一般 2 3 9 6" xfId="1668" xr:uid="{00000000-0005-0000-0000-0000F2020000}"/>
    <cellStyle name="一般 2 3 9 7" xfId="2193" xr:uid="{00000000-0005-0000-0000-0000F3020000}"/>
    <cellStyle name="一般 2 4" xfId="25" xr:uid="{00000000-0005-0000-0000-0000F4020000}"/>
    <cellStyle name="一般 2 4 2" xfId="151" xr:uid="{00000000-0005-0000-0000-0000F5020000}"/>
    <cellStyle name="一般 2 4 2 2" xfId="412" xr:uid="{00000000-0005-0000-0000-0000F6020000}"/>
    <cellStyle name="一般 2 4 2 2 2" xfId="1462" xr:uid="{00000000-0005-0000-0000-0000F7020000}"/>
    <cellStyle name="一般 2 4 2 2 3" xfId="937" xr:uid="{00000000-0005-0000-0000-0000F8020000}"/>
    <cellStyle name="一般 2 4 2 2 4" xfId="1987" xr:uid="{00000000-0005-0000-0000-0000F9020000}"/>
    <cellStyle name="一般 2 4 2 2 5" xfId="2512" xr:uid="{00000000-0005-0000-0000-0000FA020000}"/>
    <cellStyle name="一般 2 4 2 3" xfId="1201" xr:uid="{00000000-0005-0000-0000-0000FB020000}"/>
    <cellStyle name="一般 2 4 2 4" xfId="676" xr:uid="{00000000-0005-0000-0000-0000FC020000}"/>
    <cellStyle name="一般 2 4 2 5" xfId="1726" xr:uid="{00000000-0005-0000-0000-0000FD020000}"/>
    <cellStyle name="一般 2 4 2 6" xfId="2251" xr:uid="{00000000-0005-0000-0000-0000FE020000}"/>
    <cellStyle name="一般 2 4 3" xfId="286" xr:uid="{00000000-0005-0000-0000-0000FF020000}"/>
    <cellStyle name="一般 2 4 3 2" xfId="1336" xr:uid="{00000000-0005-0000-0000-000000030000}"/>
    <cellStyle name="一般 2 4 3 3" xfId="811" xr:uid="{00000000-0005-0000-0000-000001030000}"/>
    <cellStyle name="一般 2 4 3 4" xfId="1861" xr:uid="{00000000-0005-0000-0000-000002030000}"/>
    <cellStyle name="一般 2 4 3 5" xfId="2386" xr:uid="{00000000-0005-0000-0000-000003030000}"/>
    <cellStyle name="一般 2 4 4" xfId="1075" xr:uid="{00000000-0005-0000-0000-000004030000}"/>
    <cellStyle name="一般 2 4 5" xfId="550" xr:uid="{00000000-0005-0000-0000-000005030000}"/>
    <cellStyle name="一般 2 4 6" xfId="1600" xr:uid="{00000000-0005-0000-0000-000006030000}"/>
    <cellStyle name="一般 2 4 7" xfId="2125" xr:uid="{00000000-0005-0000-0000-000007030000}"/>
    <cellStyle name="一般 2 5" xfId="35" xr:uid="{00000000-0005-0000-0000-000008030000}"/>
    <cellStyle name="一般 2 5 2" xfId="161" xr:uid="{00000000-0005-0000-0000-000009030000}"/>
    <cellStyle name="一般 2 5 2 2" xfId="422" xr:uid="{00000000-0005-0000-0000-00000A030000}"/>
    <cellStyle name="一般 2 5 2 2 2" xfId="1472" xr:uid="{00000000-0005-0000-0000-00000B030000}"/>
    <cellStyle name="一般 2 5 2 2 3" xfId="947" xr:uid="{00000000-0005-0000-0000-00000C030000}"/>
    <cellStyle name="一般 2 5 2 2 4" xfId="1997" xr:uid="{00000000-0005-0000-0000-00000D030000}"/>
    <cellStyle name="一般 2 5 2 2 5" xfId="2522" xr:uid="{00000000-0005-0000-0000-00000E030000}"/>
    <cellStyle name="一般 2 5 2 3" xfId="1211" xr:uid="{00000000-0005-0000-0000-00000F030000}"/>
    <cellStyle name="一般 2 5 2 4" xfId="686" xr:uid="{00000000-0005-0000-0000-000010030000}"/>
    <cellStyle name="一般 2 5 2 5" xfId="1736" xr:uid="{00000000-0005-0000-0000-000011030000}"/>
    <cellStyle name="一般 2 5 2 6" xfId="2261" xr:uid="{00000000-0005-0000-0000-000012030000}"/>
    <cellStyle name="一般 2 5 3" xfId="296" xr:uid="{00000000-0005-0000-0000-000013030000}"/>
    <cellStyle name="一般 2 5 3 2" xfId="1346" xr:uid="{00000000-0005-0000-0000-000014030000}"/>
    <cellStyle name="一般 2 5 3 3" xfId="821" xr:uid="{00000000-0005-0000-0000-000015030000}"/>
    <cellStyle name="一般 2 5 3 4" xfId="1871" xr:uid="{00000000-0005-0000-0000-000016030000}"/>
    <cellStyle name="一般 2 5 3 5" xfId="2396" xr:uid="{00000000-0005-0000-0000-000017030000}"/>
    <cellStyle name="一般 2 5 4" xfId="1085" xr:uid="{00000000-0005-0000-0000-000018030000}"/>
    <cellStyle name="一般 2 5 5" xfId="560" xr:uid="{00000000-0005-0000-0000-000019030000}"/>
    <cellStyle name="一般 2 5 6" xfId="1610" xr:uid="{00000000-0005-0000-0000-00001A030000}"/>
    <cellStyle name="一般 2 5 7" xfId="2135" xr:uid="{00000000-0005-0000-0000-00001B030000}"/>
    <cellStyle name="一般 2 6" xfId="44" xr:uid="{00000000-0005-0000-0000-00001C030000}"/>
    <cellStyle name="一般 2 6 2" xfId="170" xr:uid="{00000000-0005-0000-0000-00001D030000}"/>
    <cellStyle name="一般 2 6 2 2" xfId="431" xr:uid="{00000000-0005-0000-0000-00001E030000}"/>
    <cellStyle name="一般 2 6 2 2 2" xfId="1481" xr:uid="{00000000-0005-0000-0000-00001F030000}"/>
    <cellStyle name="一般 2 6 2 2 3" xfId="956" xr:uid="{00000000-0005-0000-0000-000020030000}"/>
    <cellStyle name="一般 2 6 2 2 4" xfId="2006" xr:uid="{00000000-0005-0000-0000-000021030000}"/>
    <cellStyle name="一般 2 6 2 2 5" xfId="2531" xr:uid="{00000000-0005-0000-0000-000022030000}"/>
    <cellStyle name="一般 2 6 2 3" xfId="1220" xr:uid="{00000000-0005-0000-0000-000023030000}"/>
    <cellStyle name="一般 2 6 2 4" xfId="695" xr:uid="{00000000-0005-0000-0000-000024030000}"/>
    <cellStyle name="一般 2 6 2 5" xfId="1745" xr:uid="{00000000-0005-0000-0000-000025030000}"/>
    <cellStyle name="一般 2 6 2 6" xfId="2270" xr:uid="{00000000-0005-0000-0000-000026030000}"/>
    <cellStyle name="一般 2 6 3" xfId="305" xr:uid="{00000000-0005-0000-0000-000027030000}"/>
    <cellStyle name="一般 2 6 3 2" xfId="1355" xr:uid="{00000000-0005-0000-0000-000028030000}"/>
    <cellStyle name="一般 2 6 3 3" xfId="830" xr:uid="{00000000-0005-0000-0000-000029030000}"/>
    <cellStyle name="一般 2 6 3 4" xfId="1880" xr:uid="{00000000-0005-0000-0000-00002A030000}"/>
    <cellStyle name="一般 2 6 3 5" xfId="2405" xr:uid="{00000000-0005-0000-0000-00002B030000}"/>
    <cellStyle name="一般 2 6 4" xfId="1094" xr:uid="{00000000-0005-0000-0000-00002C030000}"/>
    <cellStyle name="一般 2 6 5" xfId="569" xr:uid="{00000000-0005-0000-0000-00002D030000}"/>
    <cellStyle name="一般 2 6 6" xfId="1619" xr:uid="{00000000-0005-0000-0000-00002E030000}"/>
    <cellStyle name="一般 2 6 7" xfId="2144" xr:uid="{00000000-0005-0000-0000-00002F030000}"/>
    <cellStyle name="一般 2 7" xfId="51" xr:uid="{00000000-0005-0000-0000-000030030000}"/>
    <cellStyle name="一般 2 7 2" xfId="177" xr:uid="{00000000-0005-0000-0000-000031030000}"/>
    <cellStyle name="一般 2 7 2 2" xfId="438" xr:uid="{00000000-0005-0000-0000-000032030000}"/>
    <cellStyle name="一般 2 7 2 2 2" xfId="1488" xr:uid="{00000000-0005-0000-0000-000033030000}"/>
    <cellStyle name="一般 2 7 2 2 3" xfId="963" xr:uid="{00000000-0005-0000-0000-000034030000}"/>
    <cellStyle name="一般 2 7 2 2 4" xfId="2013" xr:uid="{00000000-0005-0000-0000-000035030000}"/>
    <cellStyle name="一般 2 7 2 2 5" xfId="2538" xr:uid="{00000000-0005-0000-0000-000036030000}"/>
    <cellStyle name="一般 2 7 2 3" xfId="1227" xr:uid="{00000000-0005-0000-0000-000037030000}"/>
    <cellStyle name="一般 2 7 2 4" xfId="702" xr:uid="{00000000-0005-0000-0000-000038030000}"/>
    <cellStyle name="一般 2 7 2 5" xfId="1752" xr:uid="{00000000-0005-0000-0000-000039030000}"/>
    <cellStyle name="一般 2 7 2 6" xfId="2277" xr:uid="{00000000-0005-0000-0000-00003A030000}"/>
    <cellStyle name="一般 2 7 3" xfId="312" xr:uid="{00000000-0005-0000-0000-00003B030000}"/>
    <cellStyle name="一般 2 7 3 2" xfId="1362" xr:uid="{00000000-0005-0000-0000-00003C030000}"/>
    <cellStyle name="一般 2 7 3 3" xfId="837" xr:uid="{00000000-0005-0000-0000-00003D030000}"/>
    <cellStyle name="一般 2 7 3 4" xfId="1887" xr:uid="{00000000-0005-0000-0000-00003E030000}"/>
    <cellStyle name="一般 2 7 3 5" xfId="2412" xr:uid="{00000000-0005-0000-0000-00003F030000}"/>
    <cellStyle name="一般 2 7 4" xfId="1101" xr:uid="{00000000-0005-0000-0000-000040030000}"/>
    <cellStyle name="一般 2 7 5" xfId="576" xr:uid="{00000000-0005-0000-0000-000041030000}"/>
    <cellStyle name="一般 2 7 6" xfId="1626" xr:uid="{00000000-0005-0000-0000-000042030000}"/>
    <cellStyle name="一般 2 7 7" xfId="2151" xr:uid="{00000000-0005-0000-0000-000043030000}"/>
    <cellStyle name="一般 2 8" xfId="60" xr:uid="{00000000-0005-0000-0000-000044030000}"/>
    <cellStyle name="一般 2 8 2" xfId="186" xr:uid="{00000000-0005-0000-0000-000045030000}"/>
    <cellStyle name="一般 2 8 2 2" xfId="447" xr:uid="{00000000-0005-0000-0000-000046030000}"/>
    <cellStyle name="一般 2 8 2 2 2" xfId="1497" xr:uid="{00000000-0005-0000-0000-000047030000}"/>
    <cellStyle name="一般 2 8 2 2 3" xfId="972" xr:uid="{00000000-0005-0000-0000-000048030000}"/>
    <cellStyle name="一般 2 8 2 2 4" xfId="2022" xr:uid="{00000000-0005-0000-0000-000049030000}"/>
    <cellStyle name="一般 2 8 2 2 5" xfId="2547" xr:uid="{00000000-0005-0000-0000-00004A030000}"/>
    <cellStyle name="一般 2 8 2 3" xfId="1236" xr:uid="{00000000-0005-0000-0000-00004B030000}"/>
    <cellStyle name="一般 2 8 2 4" xfId="711" xr:uid="{00000000-0005-0000-0000-00004C030000}"/>
    <cellStyle name="一般 2 8 2 5" xfId="1761" xr:uid="{00000000-0005-0000-0000-00004D030000}"/>
    <cellStyle name="一般 2 8 2 6" xfId="2286" xr:uid="{00000000-0005-0000-0000-00004E030000}"/>
    <cellStyle name="一般 2 8 3" xfId="321" xr:uid="{00000000-0005-0000-0000-00004F030000}"/>
    <cellStyle name="一般 2 8 3 2" xfId="1371" xr:uid="{00000000-0005-0000-0000-000050030000}"/>
    <cellStyle name="一般 2 8 3 3" xfId="846" xr:uid="{00000000-0005-0000-0000-000051030000}"/>
    <cellStyle name="一般 2 8 3 4" xfId="1896" xr:uid="{00000000-0005-0000-0000-000052030000}"/>
    <cellStyle name="一般 2 8 3 5" xfId="2421" xr:uid="{00000000-0005-0000-0000-000053030000}"/>
    <cellStyle name="一般 2 8 4" xfId="1110" xr:uid="{00000000-0005-0000-0000-000054030000}"/>
    <cellStyle name="一般 2 8 5" xfId="585" xr:uid="{00000000-0005-0000-0000-000055030000}"/>
    <cellStyle name="一般 2 8 6" xfId="1635" xr:uid="{00000000-0005-0000-0000-000056030000}"/>
    <cellStyle name="一般 2 8 7" xfId="2160" xr:uid="{00000000-0005-0000-0000-000057030000}"/>
    <cellStyle name="一般 2 9" xfId="69" xr:uid="{00000000-0005-0000-0000-000058030000}"/>
    <cellStyle name="一般 2 9 2" xfId="195" xr:uid="{00000000-0005-0000-0000-000059030000}"/>
    <cellStyle name="一般 2 9 2 2" xfId="456" xr:uid="{00000000-0005-0000-0000-00005A030000}"/>
    <cellStyle name="一般 2 9 2 2 2" xfId="1506" xr:uid="{00000000-0005-0000-0000-00005B030000}"/>
    <cellStyle name="一般 2 9 2 2 3" xfId="981" xr:uid="{00000000-0005-0000-0000-00005C030000}"/>
    <cellStyle name="一般 2 9 2 2 4" xfId="2031" xr:uid="{00000000-0005-0000-0000-00005D030000}"/>
    <cellStyle name="一般 2 9 2 2 5" xfId="2556" xr:uid="{00000000-0005-0000-0000-00005E030000}"/>
    <cellStyle name="一般 2 9 2 3" xfId="1245" xr:uid="{00000000-0005-0000-0000-00005F030000}"/>
    <cellStyle name="一般 2 9 2 4" xfId="720" xr:uid="{00000000-0005-0000-0000-000060030000}"/>
    <cellStyle name="一般 2 9 2 5" xfId="1770" xr:uid="{00000000-0005-0000-0000-000061030000}"/>
    <cellStyle name="一般 2 9 2 6" xfId="2295" xr:uid="{00000000-0005-0000-0000-000062030000}"/>
    <cellStyle name="一般 2 9 3" xfId="330" xr:uid="{00000000-0005-0000-0000-000063030000}"/>
    <cellStyle name="一般 2 9 3 2" xfId="1380" xr:uid="{00000000-0005-0000-0000-000064030000}"/>
    <cellStyle name="一般 2 9 3 3" xfId="855" xr:uid="{00000000-0005-0000-0000-000065030000}"/>
    <cellStyle name="一般 2 9 3 4" xfId="1905" xr:uid="{00000000-0005-0000-0000-000066030000}"/>
    <cellStyle name="一般 2 9 3 5" xfId="2430" xr:uid="{00000000-0005-0000-0000-000067030000}"/>
    <cellStyle name="一般 2 9 4" xfId="1119" xr:uid="{00000000-0005-0000-0000-000068030000}"/>
    <cellStyle name="一般 2 9 5" xfId="594" xr:uid="{00000000-0005-0000-0000-000069030000}"/>
    <cellStyle name="一般 2 9 6" xfId="1644" xr:uid="{00000000-0005-0000-0000-00006A030000}"/>
    <cellStyle name="一般 2 9 7" xfId="2169" xr:uid="{00000000-0005-0000-0000-00006B030000}"/>
    <cellStyle name="一般 3" xfId="2" xr:uid="{00000000-0005-0000-0000-00006C030000}"/>
    <cellStyle name="一般 3 10" xfId="79" xr:uid="{00000000-0005-0000-0000-00006D030000}"/>
    <cellStyle name="一般 3 10 2" xfId="205" xr:uid="{00000000-0005-0000-0000-00006E030000}"/>
    <cellStyle name="一般 3 10 2 2" xfId="466" xr:uid="{00000000-0005-0000-0000-00006F030000}"/>
    <cellStyle name="一般 3 10 2 2 2" xfId="1516" xr:uid="{00000000-0005-0000-0000-000070030000}"/>
    <cellStyle name="一般 3 10 2 2 3" xfId="991" xr:uid="{00000000-0005-0000-0000-000071030000}"/>
    <cellStyle name="一般 3 10 2 2 4" xfId="2041" xr:uid="{00000000-0005-0000-0000-000072030000}"/>
    <cellStyle name="一般 3 10 2 2 5" xfId="2566" xr:uid="{00000000-0005-0000-0000-000073030000}"/>
    <cellStyle name="一般 3 10 2 3" xfId="1255" xr:uid="{00000000-0005-0000-0000-000074030000}"/>
    <cellStyle name="一般 3 10 2 4" xfId="730" xr:uid="{00000000-0005-0000-0000-000075030000}"/>
    <cellStyle name="一般 3 10 2 5" xfId="1780" xr:uid="{00000000-0005-0000-0000-000076030000}"/>
    <cellStyle name="一般 3 10 2 6" xfId="2305" xr:uid="{00000000-0005-0000-0000-000077030000}"/>
    <cellStyle name="一般 3 10 3" xfId="340" xr:uid="{00000000-0005-0000-0000-000078030000}"/>
    <cellStyle name="一般 3 10 3 2" xfId="1390" xr:uid="{00000000-0005-0000-0000-000079030000}"/>
    <cellStyle name="一般 3 10 3 3" xfId="865" xr:uid="{00000000-0005-0000-0000-00007A030000}"/>
    <cellStyle name="一般 3 10 3 4" xfId="1915" xr:uid="{00000000-0005-0000-0000-00007B030000}"/>
    <cellStyle name="一般 3 10 3 5" xfId="2440" xr:uid="{00000000-0005-0000-0000-00007C030000}"/>
    <cellStyle name="一般 3 10 4" xfId="1129" xr:uid="{00000000-0005-0000-0000-00007D030000}"/>
    <cellStyle name="一般 3 10 5" xfId="604" xr:uid="{00000000-0005-0000-0000-00007E030000}"/>
    <cellStyle name="一般 3 10 6" xfId="1654" xr:uid="{00000000-0005-0000-0000-00007F030000}"/>
    <cellStyle name="一般 3 10 7" xfId="2179" xr:uid="{00000000-0005-0000-0000-000080030000}"/>
    <cellStyle name="一般 3 11" xfId="88" xr:uid="{00000000-0005-0000-0000-000081030000}"/>
    <cellStyle name="一般 3 11 2" xfId="214" xr:uid="{00000000-0005-0000-0000-000082030000}"/>
    <cellStyle name="一般 3 11 2 2" xfId="475" xr:uid="{00000000-0005-0000-0000-000083030000}"/>
    <cellStyle name="一般 3 11 2 2 2" xfId="1525" xr:uid="{00000000-0005-0000-0000-000084030000}"/>
    <cellStyle name="一般 3 11 2 2 3" xfId="1000" xr:uid="{00000000-0005-0000-0000-000085030000}"/>
    <cellStyle name="一般 3 11 2 2 4" xfId="2050" xr:uid="{00000000-0005-0000-0000-000086030000}"/>
    <cellStyle name="一般 3 11 2 2 5" xfId="2575" xr:uid="{00000000-0005-0000-0000-000087030000}"/>
    <cellStyle name="一般 3 11 2 3" xfId="1264" xr:uid="{00000000-0005-0000-0000-000088030000}"/>
    <cellStyle name="一般 3 11 2 4" xfId="739" xr:uid="{00000000-0005-0000-0000-000089030000}"/>
    <cellStyle name="一般 3 11 2 5" xfId="1789" xr:uid="{00000000-0005-0000-0000-00008A030000}"/>
    <cellStyle name="一般 3 11 2 6" xfId="2314" xr:uid="{00000000-0005-0000-0000-00008B030000}"/>
    <cellStyle name="一般 3 11 3" xfId="349" xr:uid="{00000000-0005-0000-0000-00008C030000}"/>
    <cellStyle name="一般 3 11 3 2" xfId="1399" xr:uid="{00000000-0005-0000-0000-00008D030000}"/>
    <cellStyle name="一般 3 11 3 3" xfId="874" xr:uid="{00000000-0005-0000-0000-00008E030000}"/>
    <cellStyle name="一般 3 11 3 4" xfId="1924" xr:uid="{00000000-0005-0000-0000-00008F030000}"/>
    <cellStyle name="一般 3 11 3 5" xfId="2449" xr:uid="{00000000-0005-0000-0000-000090030000}"/>
    <cellStyle name="一般 3 11 4" xfId="1138" xr:uid="{00000000-0005-0000-0000-000091030000}"/>
    <cellStyle name="一般 3 11 5" xfId="613" xr:uid="{00000000-0005-0000-0000-000092030000}"/>
    <cellStyle name="一般 3 11 6" xfId="1663" xr:uid="{00000000-0005-0000-0000-000093030000}"/>
    <cellStyle name="一般 3 11 7" xfId="2188" xr:uid="{00000000-0005-0000-0000-000094030000}"/>
    <cellStyle name="一般 3 12" xfId="97" xr:uid="{00000000-0005-0000-0000-000095030000}"/>
    <cellStyle name="一般 3 12 2" xfId="223" xr:uid="{00000000-0005-0000-0000-000096030000}"/>
    <cellStyle name="一般 3 12 2 2" xfId="484" xr:uid="{00000000-0005-0000-0000-000097030000}"/>
    <cellStyle name="一般 3 12 2 2 2" xfId="1534" xr:uid="{00000000-0005-0000-0000-000098030000}"/>
    <cellStyle name="一般 3 12 2 2 3" xfId="1009" xr:uid="{00000000-0005-0000-0000-000099030000}"/>
    <cellStyle name="一般 3 12 2 2 4" xfId="2059" xr:uid="{00000000-0005-0000-0000-00009A030000}"/>
    <cellStyle name="一般 3 12 2 2 5" xfId="2584" xr:uid="{00000000-0005-0000-0000-00009B030000}"/>
    <cellStyle name="一般 3 12 2 3" xfId="1273" xr:uid="{00000000-0005-0000-0000-00009C030000}"/>
    <cellStyle name="一般 3 12 2 4" xfId="748" xr:uid="{00000000-0005-0000-0000-00009D030000}"/>
    <cellStyle name="一般 3 12 2 5" xfId="1798" xr:uid="{00000000-0005-0000-0000-00009E030000}"/>
    <cellStyle name="一般 3 12 2 6" xfId="2323" xr:uid="{00000000-0005-0000-0000-00009F030000}"/>
    <cellStyle name="一般 3 12 3" xfId="358" xr:uid="{00000000-0005-0000-0000-0000A0030000}"/>
    <cellStyle name="一般 3 12 3 2" xfId="1408" xr:uid="{00000000-0005-0000-0000-0000A1030000}"/>
    <cellStyle name="一般 3 12 3 3" xfId="883" xr:uid="{00000000-0005-0000-0000-0000A2030000}"/>
    <cellStyle name="一般 3 12 3 4" xfId="1933" xr:uid="{00000000-0005-0000-0000-0000A3030000}"/>
    <cellStyle name="一般 3 12 3 5" xfId="2458" xr:uid="{00000000-0005-0000-0000-0000A4030000}"/>
    <cellStyle name="一般 3 12 4" xfId="1147" xr:uid="{00000000-0005-0000-0000-0000A5030000}"/>
    <cellStyle name="一般 3 12 5" xfId="622" xr:uid="{00000000-0005-0000-0000-0000A6030000}"/>
    <cellStyle name="一般 3 12 6" xfId="1672" xr:uid="{00000000-0005-0000-0000-0000A7030000}"/>
    <cellStyle name="一般 3 12 7" xfId="2197" xr:uid="{00000000-0005-0000-0000-0000A8030000}"/>
    <cellStyle name="一般 3 13" xfId="106" xr:uid="{00000000-0005-0000-0000-0000A9030000}"/>
    <cellStyle name="一般 3 13 2" xfId="232" xr:uid="{00000000-0005-0000-0000-0000AA030000}"/>
    <cellStyle name="一般 3 13 2 2" xfId="493" xr:uid="{00000000-0005-0000-0000-0000AB030000}"/>
    <cellStyle name="一般 3 13 2 2 2" xfId="1543" xr:uid="{00000000-0005-0000-0000-0000AC030000}"/>
    <cellStyle name="一般 3 13 2 2 3" xfId="1018" xr:uid="{00000000-0005-0000-0000-0000AD030000}"/>
    <cellStyle name="一般 3 13 2 2 4" xfId="2068" xr:uid="{00000000-0005-0000-0000-0000AE030000}"/>
    <cellStyle name="一般 3 13 2 2 5" xfId="2593" xr:uid="{00000000-0005-0000-0000-0000AF030000}"/>
    <cellStyle name="一般 3 13 2 3" xfId="1282" xr:uid="{00000000-0005-0000-0000-0000B0030000}"/>
    <cellStyle name="一般 3 13 2 4" xfId="757" xr:uid="{00000000-0005-0000-0000-0000B1030000}"/>
    <cellStyle name="一般 3 13 2 5" xfId="1807" xr:uid="{00000000-0005-0000-0000-0000B2030000}"/>
    <cellStyle name="一般 3 13 2 6" xfId="2332" xr:uid="{00000000-0005-0000-0000-0000B3030000}"/>
    <cellStyle name="一般 3 13 3" xfId="367" xr:uid="{00000000-0005-0000-0000-0000B4030000}"/>
    <cellStyle name="一般 3 13 3 2" xfId="1417" xr:uid="{00000000-0005-0000-0000-0000B5030000}"/>
    <cellStyle name="一般 3 13 3 3" xfId="892" xr:uid="{00000000-0005-0000-0000-0000B6030000}"/>
    <cellStyle name="一般 3 13 3 4" xfId="1942" xr:uid="{00000000-0005-0000-0000-0000B7030000}"/>
    <cellStyle name="一般 3 13 3 5" xfId="2467" xr:uid="{00000000-0005-0000-0000-0000B8030000}"/>
    <cellStyle name="一般 3 13 4" xfId="1156" xr:uid="{00000000-0005-0000-0000-0000B9030000}"/>
    <cellStyle name="一般 3 13 5" xfId="631" xr:uid="{00000000-0005-0000-0000-0000BA030000}"/>
    <cellStyle name="一般 3 13 6" xfId="1681" xr:uid="{00000000-0005-0000-0000-0000BB030000}"/>
    <cellStyle name="一般 3 13 7" xfId="2206" xr:uid="{00000000-0005-0000-0000-0000BC030000}"/>
    <cellStyle name="一般 3 14" xfId="115" xr:uid="{00000000-0005-0000-0000-0000BD030000}"/>
    <cellStyle name="一般 3 14 2" xfId="241" xr:uid="{00000000-0005-0000-0000-0000BE030000}"/>
    <cellStyle name="一般 3 14 2 2" xfId="502" xr:uid="{00000000-0005-0000-0000-0000BF030000}"/>
    <cellStyle name="一般 3 14 2 2 2" xfId="1552" xr:uid="{00000000-0005-0000-0000-0000C0030000}"/>
    <cellStyle name="一般 3 14 2 2 3" xfId="1027" xr:uid="{00000000-0005-0000-0000-0000C1030000}"/>
    <cellStyle name="一般 3 14 2 2 4" xfId="2077" xr:uid="{00000000-0005-0000-0000-0000C2030000}"/>
    <cellStyle name="一般 3 14 2 2 5" xfId="2602" xr:uid="{00000000-0005-0000-0000-0000C3030000}"/>
    <cellStyle name="一般 3 14 2 3" xfId="1291" xr:uid="{00000000-0005-0000-0000-0000C4030000}"/>
    <cellStyle name="一般 3 14 2 4" xfId="766" xr:uid="{00000000-0005-0000-0000-0000C5030000}"/>
    <cellStyle name="一般 3 14 2 5" xfId="1816" xr:uid="{00000000-0005-0000-0000-0000C6030000}"/>
    <cellStyle name="一般 3 14 2 6" xfId="2341" xr:uid="{00000000-0005-0000-0000-0000C7030000}"/>
    <cellStyle name="一般 3 14 3" xfId="376" xr:uid="{00000000-0005-0000-0000-0000C8030000}"/>
    <cellStyle name="一般 3 14 3 2" xfId="1426" xr:uid="{00000000-0005-0000-0000-0000C9030000}"/>
    <cellStyle name="一般 3 14 3 3" xfId="901" xr:uid="{00000000-0005-0000-0000-0000CA030000}"/>
    <cellStyle name="一般 3 14 3 4" xfId="1951" xr:uid="{00000000-0005-0000-0000-0000CB030000}"/>
    <cellStyle name="一般 3 14 3 5" xfId="2476" xr:uid="{00000000-0005-0000-0000-0000CC030000}"/>
    <cellStyle name="一般 3 14 4" xfId="1165" xr:uid="{00000000-0005-0000-0000-0000CD030000}"/>
    <cellStyle name="一般 3 14 5" xfId="640" xr:uid="{00000000-0005-0000-0000-0000CE030000}"/>
    <cellStyle name="一般 3 14 6" xfId="1690" xr:uid="{00000000-0005-0000-0000-0000CF030000}"/>
    <cellStyle name="一般 3 14 7" xfId="2215" xr:uid="{00000000-0005-0000-0000-0000D0030000}"/>
    <cellStyle name="一般 3 15" xfId="124" xr:uid="{00000000-0005-0000-0000-0000D1030000}"/>
    <cellStyle name="一般 3 15 2" xfId="250" xr:uid="{00000000-0005-0000-0000-0000D2030000}"/>
    <cellStyle name="一般 3 15 2 2" xfId="511" xr:uid="{00000000-0005-0000-0000-0000D3030000}"/>
    <cellStyle name="一般 3 15 2 2 2" xfId="1561" xr:uid="{00000000-0005-0000-0000-0000D4030000}"/>
    <cellStyle name="一般 3 15 2 2 3" xfId="1036" xr:uid="{00000000-0005-0000-0000-0000D5030000}"/>
    <cellStyle name="一般 3 15 2 2 4" xfId="2086" xr:uid="{00000000-0005-0000-0000-0000D6030000}"/>
    <cellStyle name="一般 3 15 2 2 5" xfId="2611" xr:uid="{00000000-0005-0000-0000-0000D7030000}"/>
    <cellStyle name="一般 3 15 2 3" xfId="1300" xr:uid="{00000000-0005-0000-0000-0000D8030000}"/>
    <cellStyle name="一般 3 15 2 4" xfId="775" xr:uid="{00000000-0005-0000-0000-0000D9030000}"/>
    <cellStyle name="一般 3 15 2 5" xfId="1825" xr:uid="{00000000-0005-0000-0000-0000DA030000}"/>
    <cellStyle name="一般 3 15 2 6" xfId="2350" xr:uid="{00000000-0005-0000-0000-0000DB030000}"/>
    <cellStyle name="一般 3 15 3" xfId="385" xr:uid="{00000000-0005-0000-0000-0000DC030000}"/>
    <cellStyle name="一般 3 15 3 2" xfId="1435" xr:uid="{00000000-0005-0000-0000-0000DD030000}"/>
    <cellStyle name="一般 3 15 3 3" xfId="910" xr:uid="{00000000-0005-0000-0000-0000DE030000}"/>
    <cellStyle name="一般 3 15 3 4" xfId="1960" xr:uid="{00000000-0005-0000-0000-0000DF030000}"/>
    <cellStyle name="一般 3 15 3 5" xfId="2485" xr:uid="{00000000-0005-0000-0000-0000E0030000}"/>
    <cellStyle name="一般 3 15 4" xfId="1174" xr:uid="{00000000-0005-0000-0000-0000E1030000}"/>
    <cellStyle name="一般 3 15 5" xfId="649" xr:uid="{00000000-0005-0000-0000-0000E2030000}"/>
    <cellStyle name="一般 3 15 6" xfId="1699" xr:uid="{00000000-0005-0000-0000-0000E3030000}"/>
    <cellStyle name="一般 3 15 7" xfId="2224" xr:uid="{00000000-0005-0000-0000-0000E4030000}"/>
    <cellStyle name="一般 3 16" xfId="133" xr:uid="{00000000-0005-0000-0000-0000E5030000}"/>
    <cellStyle name="一般 3 16 2" xfId="259" xr:uid="{00000000-0005-0000-0000-0000E6030000}"/>
    <cellStyle name="一般 3 16 2 2" xfId="520" xr:uid="{00000000-0005-0000-0000-0000E7030000}"/>
    <cellStyle name="一般 3 16 2 2 2" xfId="1570" xr:uid="{00000000-0005-0000-0000-0000E8030000}"/>
    <cellStyle name="一般 3 16 2 2 3" xfId="1045" xr:uid="{00000000-0005-0000-0000-0000E9030000}"/>
    <cellStyle name="一般 3 16 2 2 4" xfId="2095" xr:uid="{00000000-0005-0000-0000-0000EA030000}"/>
    <cellStyle name="一般 3 16 2 2 5" xfId="2620" xr:uid="{00000000-0005-0000-0000-0000EB030000}"/>
    <cellStyle name="一般 3 16 2 3" xfId="1309" xr:uid="{00000000-0005-0000-0000-0000EC030000}"/>
    <cellStyle name="一般 3 16 2 4" xfId="784" xr:uid="{00000000-0005-0000-0000-0000ED030000}"/>
    <cellStyle name="一般 3 16 2 5" xfId="1834" xr:uid="{00000000-0005-0000-0000-0000EE030000}"/>
    <cellStyle name="一般 3 16 2 6" xfId="2359" xr:uid="{00000000-0005-0000-0000-0000EF030000}"/>
    <cellStyle name="一般 3 16 3" xfId="394" xr:uid="{00000000-0005-0000-0000-0000F0030000}"/>
    <cellStyle name="一般 3 16 3 2" xfId="1444" xr:uid="{00000000-0005-0000-0000-0000F1030000}"/>
    <cellStyle name="一般 3 16 3 3" xfId="919" xr:uid="{00000000-0005-0000-0000-0000F2030000}"/>
    <cellStyle name="一般 3 16 3 4" xfId="1969" xr:uid="{00000000-0005-0000-0000-0000F3030000}"/>
    <cellStyle name="一般 3 16 3 5" xfId="2494" xr:uid="{00000000-0005-0000-0000-0000F4030000}"/>
    <cellStyle name="一般 3 16 4" xfId="1183" xr:uid="{00000000-0005-0000-0000-0000F5030000}"/>
    <cellStyle name="一般 3 16 5" xfId="658" xr:uid="{00000000-0005-0000-0000-0000F6030000}"/>
    <cellStyle name="一般 3 16 6" xfId="1708" xr:uid="{00000000-0005-0000-0000-0000F7030000}"/>
    <cellStyle name="一般 3 16 7" xfId="2233" xr:uid="{00000000-0005-0000-0000-0000F8030000}"/>
    <cellStyle name="一般 3 17" xfId="16" xr:uid="{00000000-0005-0000-0000-0000F9030000}"/>
    <cellStyle name="一般 3 17 2" xfId="277" xr:uid="{00000000-0005-0000-0000-0000FA030000}"/>
    <cellStyle name="一般 3 17 2 2" xfId="1327" xr:uid="{00000000-0005-0000-0000-0000FB030000}"/>
    <cellStyle name="一般 3 17 2 3" xfId="802" xr:uid="{00000000-0005-0000-0000-0000FC030000}"/>
    <cellStyle name="一般 3 17 2 4" xfId="1852" xr:uid="{00000000-0005-0000-0000-0000FD030000}"/>
    <cellStyle name="一般 3 17 2 5" xfId="2377" xr:uid="{00000000-0005-0000-0000-0000FE030000}"/>
    <cellStyle name="一般 3 17 3" xfId="1066" xr:uid="{00000000-0005-0000-0000-0000FF030000}"/>
    <cellStyle name="一般 3 17 4" xfId="541" xr:uid="{00000000-0005-0000-0000-000000040000}"/>
    <cellStyle name="一般 3 17 5" xfId="1591" xr:uid="{00000000-0005-0000-0000-000001040000}"/>
    <cellStyle name="一般 3 17 6" xfId="2116" xr:uid="{00000000-0005-0000-0000-000002040000}"/>
    <cellStyle name="一般 3 18" xfId="142" xr:uid="{00000000-0005-0000-0000-000003040000}"/>
    <cellStyle name="一般 3 18 2" xfId="403" xr:uid="{00000000-0005-0000-0000-000004040000}"/>
    <cellStyle name="一般 3 18 2 2" xfId="1453" xr:uid="{00000000-0005-0000-0000-000005040000}"/>
    <cellStyle name="一般 3 18 2 3" xfId="928" xr:uid="{00000000-0005-0000-0000-000006040000}"/>
    <cellStyle name="一般 3 18 2 4" xfId="1978" xr:uid="{00000000-0005-0000-0000-000007040000}"/>
    <cellStyle name="一般 3 18 2 5" xfId="2503" xr:uid="{00000000-0005-0000-0000-000008040000}"/>
    <cellStyle name="一般 3 18 3" xfId="1192" xr:uid="{00000000-0005-0000-0000-000009040000}"/>
    <cellStyle name="一般 3 18 4" xfId="667" xr:uid="{00000000-0005-0000-0000-00000A040000}"/>
    <cellStyle name="一般 3 18 5" xfId="1717" xr:uid="{00000000-0005-0000-0000-00000B040000}"/>
    <cellStyle name="一般 3 18 6" xfId="2242" xr:uid="{00000000-0005-0000-0000-00000C040000}"/>
    <cellStyle name="一般 3 19" xfId="268" xr:uid="{00000000-0005-0000-0000-00000D040000}"/>
    <cellStyle name="一般 3 19 2" xfId="1318" xr:uid="{00000000-0005-0000-0000-00000E040000}"/>
    <cellStyle name="一般 3 19 3" xfId="793" xr:uid="{00000000-0005-0000-0000-00000F040000}"/>
    <cellStyle name="一般 3 19 4" xfId="1843" xr:uid="{00000000-0005-0000-0000-000010040000}"/>
    <cellStyle name="一般 3 19 5" xfId="2368" xr:uid="{00000000-0005-0000-0000-000011040000}"/>
    <cellStyle name="一般 3 2" xfId="10" xr:uid="{00000000-0005-0000-0000-000012040000}"/>
    <cellStyle name="一般 3 2 10" xfId="100" xr:uid="{00000000-0005-0000-0000-000013040000}"/>
    <cellStyle name="一般 3 2 10 2" xfId="226" xr:uid="{00000000-0005-0000-0000-000014040000}"/>
    <cellStyle name="一般 3 2 10 2 2" xfId="487" xr:uid="{00000000-0005-0000-0000-000015040000}"/>
    <cellStyle name="一般 3 2 10 2 2 2" xfId="1537" xr:uid="{00000000-0005-0000-0000-000016040000}"/>
    <cellStyle name="一般 3 2 10 2 2 3" xfId="1012" xr:uid="{00000000-0005-0000-0000-000017040000}"/>
    <cellStyle name="一般 3 2 10 2 2 4" xfId="2062" xr:uid="{00000000-0005-0000-0000-000018040000}"/>
    <cellStyle name="一般 3 2 10 2 2 5" xfId="2587" xr:uid="{00000000-0005-0000-0000-000019040000}"/>
    <cellStyle name="一般 3 2 10 2 3" xfId="1276" xr:uid="{00000000-0005-0000-0000-00001A040000}"/>
    <cellStyle name="一般 3 2 10 2 4" xfId="751" xr:uid="{00000000-0005-0000-0000-00001B040000}"/>
    <cellStyle name="一般 3 2 10 2 5" xfId="1801" xr:uid="{00000000-0005-0000-0000-00001C040000}"/>
    <cellStyle name="一般 3 2 10 2 6" xfId="2326" xr:uid="{00000000-0005-0000-0000-00001D040000}"/>
    <cellStyle name="一般 3 2 10 3" xfId="361" xr:uid="{00000000-0005-0000-0000-00001E040000}"/>
    <cellStyle name="一般 3 2 10 3 2" xfId="1411" xr:uid="{00000000-0005-0000-0000-00001F040000}"/>
    <cellStyle name="一般 3 2 10 3 3" xfId="886" xr:uid="{00000000-0005-0000-0000-000020040000}"/>
    <cellStyle name="一般 3 2 10 3 4" xfId="1936" xr:uid="{00000000-0005-0000-0000-000021040000}"/>
    <cellStyle name="一般 3 2 10 3 5" xfId="2461" xr:uid="{00000000-0005-0000-0000-000022040000}"/>
    <cellStyle name="一般 3 2 10 4" xfId="1150" xr:uid="{00000000-0005-0000-0000-000023040000}"/>
    <cellStyle name="一般 3 2 10 5" xfId="625" xr:uid="{00000000-0005-0000-0000-000024040000}"/>
    <cellStyle name="一般 3 2 10 6" xfId="1675" xr:uid="{00000000-0005-0000-0000-000025040000}"/>
    <cellStyle name="一般 3 2 10 7" xfId="2200" xr:uid="{00000000-0005-0000-0000-000026040000}"/>
    <cellStyle name="一般 3 2 11" xfId="109" xr:uid="{00000000-0005-0000-0000-000027040000}"/>
    <cellStyle name="一般 3 2 11 2" xfId="235" xr:uid="{00000000-0005-0000-0000-000028040000}"/>
    <cellStyle name="一般 3 2 11 2 2" xfId="496" xr:uid="{00000000-0005-0000-0000-000029040000}"/>
    <cellStyle name="一般 3 2 11 2 2 2" xfId="1546" xr:uid="{00000000-0005-0000-0000-00002A040000}"/>
    <cellStyle name="一般 3 2 11 2 2 3" xfId="1021" xr:uid="{00000000-0005-0000-0000-00002B040000}"/>
    <cellStyle name="一般 3 2 11 2 2 4" xfId="2071" xr:uid="{00000000-0005-0000-0000-00002C040000}"/>
    <cellStyle name="一般 3 2 11 2 2 5" xfId="2596" xr:uid="{00000000-0005-0000-0000-00002D040000}"/>
    <cellStyle name="一般 3 2 11 2 3" xfId="1285" xr:uid="{00000000-0005-0000-0000-00002E040000}"/>
    <cellStyle name="一般 3 2 11 2 4" xfId="760" xr:uid="{00000000-0005-0000-0000-00002F040000}"/>
    <cellStyle name="一般 3 2 11 2 5" xfId="1810" xr:uid="{00000000-0005-0000-0000-000030040000}"/>
    <cellStyle name="一般 3 2 11 2 6" xfId="2335" xr:uid="{00000000-0005-0000-0000-000031040000}"/>
    <cellStyle name="一般 3 2 11 3" xfId="370" xr:uid="{00000000-0005-0000-0000-000032040000}"/>
    <cellStyle name="一般 3 2 11 3 2" xfId="1420" xr:uid="{00000000-0005-0000-0000-000033040000}"/>
    <cellStyle name="一般 3 2 11 3 3" xfId="895" xr:uid="{00000000-0005-0000-0000-000034040000}"/>
    <cellStyle name="一般 3 2 11 3 4" xfId="1945" xr:uid="{00000000-0005-0000-0000-000035040000}"/>
    <cellStyle name="一般 3 2 11 3 5" xfId="2470" xr:uid="{00000000-0005-0000-0000-000036040000}"/>
    <cellStyle name="一般 3 2 11 4" xfId="1159" xr:uid="{00000000-0005-0000-0000-000037040000}"/>
    <cellStyle name="一般 3 2 11 5" xfId="634" xr:uid="{00000000-0005-0000-0000-000038040000}"/>
    <cellStyle name="一般 3 2 11 6" xfId="1684" xr:uid="{00000000-0005-0000-0000-000039040000}"/>
    <cellStyle name="一般 3 2 11 7" xfId="2209" xr:uid="{00000000-0005-0000-0000-00003A040000}"/>
    <cellStyle name="一般 3 2 12" xfId="118" xr:uid="{00000000-0005-0000-0000-00003B040000}"/>
    <cellStyle name="一般 3 2 12 2" xfId="244" xr:uid="{00000000-0005-0000-0000-00003C040000}"/>
    <cellStyle name="一般 3 2 12 2 2" xfId="505" xr:uid="{00000000-0005-0000-0000-00003D040000}"/>
    <cellStyle name="一般 3 2 12 2 2 2" xfId="1555" xr:uid="{00000000-0005-0000-0000-00003E040000}"/>
    <cellStyle name="一般 3 2 12 2 2 3" xfId="1030" xr:uid="{00000000-0005-0000-0000-00003F040000}"/>
    <cellStyle name="一般 3 2 12 2 2 4" xfId="2080" xr:uid="{00000000-0005-0000-0000-000040040000}"/>
    <cellStyle name="一般 3 2 12 2 2 5" xfId="2605" xr:uid="{00000000-0005-0000-0000-000041040000}"/>
    <cellStyle name="一般 3 2 12 2 3" xfId="1294" xr:uid="{00000000-0005-0000-0000-000042040000}"/>
    <cellStyle name="一般 3 2 12 2 4" xfId="769" xr:uid="{00000000-0005-0000-0000-000043040000}"/>
    <cellStyle name="一般 3 2 12 2 5" xfId="1819" xr:uid="{00000000-0005-0000-0000-000044040000}"/>
    <cellStyle name="一般 3 2 12 2 6" xfId="2344" xr:uid="{00000000-0005-0000-0000-000045040000}"/>
    <cellStyle name="一般 3 2 12 3" xfId="379" xr:uid="{00000000-0005-0000-0000-000046040000}"/>
    <cellStyle name="一般 3 2 12 3 2" xfId="1429" xr:uid="{00000000-0005-0000-0000-000047040000}"/>
    <cellStyle name="一般 3 2 12 3 3" xfId="904" xr:uid="{00000000-0005-0000-0000-000048040000}"/>
    <cellStyle name="一般 3 2 12 3 4" xfId="1954" xr:uid="{00000000-0005-0000-0000-000049040000}"/>
    <cellStyle name="一般 3 2 12 3 5" xfId="2479" xr:uid="{00000000-0005-0000-0000-00004A040000}"/>
    <cellStyle name="一般 3 2 12 4" xfId="1168" xr:uid="{00000000-0005-0000-0000-00004B040000}"/>
    <cellStyle name="一般 3 2 12 5" xfId="643" xr:uid="{00000000-0005-0000-0000-00004C040000}"/>
    <cellStyle name="一般 3 2 12 6" xfId="1693" xr:uid="{00000000-0005-0000-0000-00004D040000}"/>
    <cellStyle name="一般 3 2 12 7" xfId="2218" xr:uid="{00000000-0005-0000-0000-00004E040000}"/>
    <cellStyle name="一般 3 2 13" xfId="127" xr:uid="{00000000-0005-0000-0000-00004F040000}"/>
    <cellStyle name="一般 3 2 13 2" xfId="253" xr:uid="{00000000-0005-0000-0000-000050040000}"/>
    <cellStyle name="一般 3 2 13 2 2" xfId="514" xr:uid="{00000000-0005-0000-0000-000051040000}"/>
    <cellStyle name="一般 3 2 13 2 2 2" xfId="1564" xr:uid="{00000000-0005-0000-0000-000052040000}"/>
    <cellStyle name="一般 3 2 13 2 2 3" xfId="1039" xr:uid="{00000000-0005-0000-0000-000053040000}"/>
    <cellStyle name="一般 3 2 13 2 2 4" xfId="2089" xr:uid="{00000000-0005-0000-0000-000054040000}"/>
    <cellStyle name="一般 3 2 13 2 2 5" xfId="2614" xr:uid="{00000000-0005-0000-0000-000055040000}"/>
    <cellStyle name="一般 3 2 13 2 3" xfId="1303" xr:uid="{00000000-0005-0000-0000-000056040000}"/>
    <cellStyle name="一般 3 2 13 2 4" xfId="778" xr:uid="{00000000-0005-0000-0000-000057040000}"/>
    <cellStyle name="一般 3 2 13 2 5" xfId="1828" xr:uid="{00000000-0005-0000-0000-000058040000}"/>
    <cellStyle name="一般 3 2 13 2 6" xfId="2353" xr:uid="{00000000-0005-0000-0000-000059040000}"/>
    <cellStyle name="一般 3 2 13 3" xfId="388" xr:uid="{00000000-0005-0000-0000-00005A040000}"/>
    <cellStyle name="一般 3 2 13 3 2" xfId="1438" xr:uid="{00000000-0005-0000-0000-00005B040000}"/>
    <cellStyle name="一般 3 2 13 3 3" xfId="913" xr:uid="{00000000-0005-0000-0000-00005C040000}"/>
    <cellStyle name="一般 3 2 13 3 4" xfId="1963" xr:uid="{00000000-0005-0000-0000-00005D040000}"/>
    <cellStyle name="一般 3 2 13 3 5" xfId="2488" xr:uid="{00000000-0005-0000-0000-00005E040000}"/>
    <cellStyle name="一般 3 2 13 4" xfId="1177" xr:uid="{00000000-0005-0000-0000-00005F040000}"/>
    <cellStyle name="一般 3 2 13 5" xfId="652" xr:uid="{00000000-0005-0000-0000-000060040000}"/>
    <cellStyle name="一般 3 2 13 6" xfId="1702" xr:uid="{00000000-0005-0000-0000-000061040000}"/>
    <cellStyle name="一般 3 2 13 7" xfId="2227" xr:uid="{00000000-0005-0000-0000-000062040000}"/>
    <cellStyle name="一般 3 2 14" xfId="136" xr:uid="{00000000-0005-0000-0000-000063040000}"/>
    <cellStyle name="一般 3 2 14 2" xfId="262" xr:uid="{00000000-0005-0000-0000-000064040000}"/>
    <cellStyle name="一般 3 2 14 2 2" xfId="523" xr:uid="{00000000-0005-0000-0000-000065040000}"/>
    <cellStyle name="一般 3 2 14 2 2 2" xfId="1573" xr:uid="{00000000-0005-0000-0000-000066040000}"/>
    <cellStyle name="一般 3 2 14 2 2 3" xfId="1048" xr:uid="{00000000-0005-0000-0000-000067040000}"/>
    <cellStyle name="一般 3 2 14 2 2 4" xfId="2098" xr:uid="{00000000-0005-0000-0000-000068040000}"/>
    <cellStyle name="一般 3 2 14 2 2 5" xfId="2623" xr:uid="{00000000-0005-0000-0000-000069040000}"/>
    <cellStyle name="一般 3 2 14 2 3" xfId="1312" xr:uid="{00000000-0005-0000-0000-00006A040000}"/>
    <cellStyle name="一般 3 2 14 2 4" xfId="787" xr:uid="{00000000-0005-0000-0000-00006B040000}"/>
    <cellStyle name="一般 3 2 14 2 5" xfId="1837" xr:uid="{00000000-0005-0000-0000-00006C040000}"/>
    <cellStyle name="一般 3 2 14 2 6" xfId="2362" xr:uid="{00000000-0005-0000-0000-00006D040000}"/>
    <cellStyle name="一般 3 2 14 3" xfId="397" xr:uid="{00000000-0005-0000-0000-00006E040000}"/>
    <cellStyle name="一般 3 2 14 3 2" xfId="1447" xr:uid="{00000000-0005-0000-0000-00006F040000}"/>
    <cellStyle name="一般 3 2 14 3 3" xfId="922" xr:uid="{00000000-0005-0000-0000-000070040000}"/>
    <cellStyle name="一般 3 2 14 3 4" xfId="1972" xr:uid="{00000000-0005-0000-0000-000071040000}"/>
    <cellStyle name="一般 3 2 14 3 5" xfId="2497" xr:uid="{00000000-0005-0000-0000-000072040000}"/>
    <cellStyle name="一般 3 2 14 4" xfId="1186" xr:uid="{00000000-0005-0000-0000-000073040000}"/>
    <cellStyle name="一般 3 2 14 5" xfId="661" xr:uid="{00000000-0005-0000-0000-000074040000}"/>
    <cellStyle name="一般 3 2 14 6" xfId="1711" xr:uid="{00000000-0005-0000-0000-000075040000}"/>
    <cellStyle name="一般 3 2 14 7" xfId="2236" xr:uid="{00000000-0005-0000-0000-000076040000}"/>
    <cellStyle name="一般 3 2 15" xfId="19" xr:uid="{00000000-0005-0000-0000-000077040000}"/>
    <cellStyle name="一般 3 2 15 2" xfId="280" xr:uid="{00000000-0005-0000-0000-000078040000}"/>
    <cellStyle name="一般 3 2 15 2 2" xfId="1330" xr:uid="{00000000-0005-0000-0000-000079040000}"/>
    <cellStyle name="一般 3 2 15 2 3" xfId="805" xr:uid="{00000000-0005-0000-0000-00007A040000}"/>
    <cellStyle name="一般 3 2 15 2 4" xfId="1855" xr:uid="{00000000-0005-0000-0000-00007B040000}"/>
    <cellStyle name="一般 3 2 15 2 5" xfId="2380" xr:uid="{00000000-0005-0000-0000-00007C040000}"/>
    <cellStyle name="一般 3 2 15 3" xfId="1069" xr:uid="{00000000-0005-0000-0000-00007D040000}"/>
    <cellStyle name="一般 3 2 15 4" xfId="544" xr:uid="{00000000-0005-0000-0000-00007E040000}"/>
    <cellStyle name="一般 3 2 15 5" xfId="1594" xr:uid="{00000000-0005-0000-0000-00007F040000}"/>
    <cellStyle name="一般 3 2 15 6" xfId="2119" xr:uid="{00000000-0005-0000-0000-000080040000}"/>
    <cellStyle name="一般 3 2 16" xfId="145" xr:uid="{00000000-0005-0000-0000-000081040000}"/>
    <cellStyle name="一般 3 2 16 2" xfId="406" xr:uid="{00000000-0005-0000-0000-000082040000}"/>
    <cellStyle name="一般 3 2 16 2 2" xfId="1456" xr:uid="{00000000-0005-0000-0000-000083040000}"/>
    <cellStyle name="一般 3 2 16 2 3" xfId="931" xr:uid="{00000000-0005-0000-0000-000084040000}"/>
    <cellStyle name="一般 3 2 16 2 4" xfId="1981" xr:uid="{00000000-0005-0000-0000-000085040000}"/>
    <cellStyle name="一般 3 2 16 2 5" xfId="2506" xr:uid="{00000000-0005-0000-0000-000086040000}"/>
    <cellStyle name="一般 3 2 16 3" xfId="1195" xr:uid="{00000000-0005-0000-0000-000087040000}"/>
    <cellStyle name="一般 3 2 16 4" xfId="670" xr:uid="{00000000-0005-0000-0000-000088040000}"/>
    <cellStyle name="一般 3 2 16 5" xfId="1720" xr:uid="{00000000-0005-0000-0000-000089040000}"/>
    <cellStyle name="一般 3 2 16 6" xfId="2245" xr:uid="{00000000-0005-0000-0000-00008A040000}"/>
    <cellStyle name="一般 3 2 17" xfId="271" xr:uid="{00000000-0005-0000-0000-00008B040000}"/>
    <cellStyle name="一般 3 2 17 2" xfId="1321" xr:uid="{00000000-0005-0000-0000-00008C040000}"/>
    <cellStyle name="一般 3 2 17 3" xfId="796" xr:uid="{00000000-0005-0000-0000-00008D040000}"/>
    <cellStyle name="一般 3 2 17 4" xfId="1846" xr:uid="{00000000-0005-0000-0000-00008E040000}"/>
    <cellStyle name="一般 3 2 17 5" xfId="2371" xr:uid="{00000000-0005-0000-0000-00008F040000}"/>
    <cellStyle name="一般 3 2 18" xfId="1060" xr:uid="{00000000-0005-0000-0000-000090040000}"/>
    <cellStyle name="一般 3 2 19" xfId="535" xr:uid="{00000000-0005-0000-0000-000091040000}"/>
    <cellStyle name="一般 3 2 2" xfId="29" xr:uid="{00000000-0005-0000-0000-000092040000}"/>
    <cellStyle name="一般 3 2 2 2" xfId="155" xr:uid="{00000000-0005-0000-0000-000093040000}"/>
    <cellStyle name="一般 3 2 2 2 2" xfId="416" xr:uid="{00000000-0005-0000-0000-000094040000}"/>
    <cellStyle name="一般 3 2 2 2 2 2" xfId="1466" xr:uid="{00000000-0005-0000-0000-000095040000}"/>
    <cellStyle name="一般 3 2 2 2 2 3" xfId="941" xr:uid="{00000000-0005-0000-0000-000096040000}"/>
    <cellStyle name="一般 3 2 2 2 2 4" xfId="1991" xr:uid="{00000000-0005-0000-0000-000097040000}"/>
    <cellStyle name="一般 3 2 2 2 2 5" xfId="2516" xr:uid="{00000000-0005-0000-0000-000098040000}"/>
    <cellStyle name="一般 3 2 2 2 3" xfId="1205" xr:uid="{00000000-0005-0000-0000-000099040000}"/>
    <cellStyle name="一般 3 2 2 2 4" xfId="680" xr:uid="{00000000-0005-0000-0000-00009A040000}"/>
    <cellStyle name="一般 3 2 2 2 5" xfId="1730" xr:uid="{00000000-0005-0000-0000-00009B040000}"/>
    <cellStyle name="一般 3 2 2 2 6" xfId="2255" xr:uid="{00000000-0005-0000-0000-00009C040000}"/>
    <cellStyle name="一般 3 2 2 3" xfId="290" xr:uid="{00000000-0005-0000-0000-00009D040000}"/>
    <cellStyle name="一般 3 2 2 3 2" xfId="1340" xr:uid="{00000000-0005-0000-0000-00009E040000}"/>
    <cellStyle name="一般 3 2 2 3 3" xfId="815" xr:uid="{00000000-0005-0000-0000-00009F040000}"/>
    <cellStyle name="一般 3 2 2 3 4" xfId="1865" xr:uid="{00000000-0005-0000-0000-0000A0040000}"/>
    <cellStyle name="一般 3 2 2 3 5" xfId="2390" xr:uid="{00000000-0005-0000-0000-0000A1040000}"/>
    <cellStyle name="一般 3 2 2 4" xfId="1079" xr:uid="{00000000-0005-0000-0000-0000A2040000}"/>
    <cellStyle name="一般 3 2 2 5" xfId="554" xr:uid="{00000000-0005-0000-0000-0000A3040000}"/>
    <cellStyle name="一般 3 2 2 6" xfId="1604" xr:uid="{00000000-0005-0000-0000-0000A4040000}"/>
    <cellStyle name="一般 3 2 2 7" xfId="2129" xr:uid="{00000000-0005-0000-0000-0000A5040000}"/>
    <cellStyle name="一般 3 2 20" xfId="1585" xr:uid="{00000000-0005-0000-0000-0000A6040000}"/>
    <cellStyle name="一般 3 2 21" xfId="2110" xr:uid="{00000000-0005-0000-0000-0000A7040000}"/>
    <cellStyle name="一般 3 2 3" xfId="38" xr:uid="{00000000-0005-0000-0000-0000A8040000}"/>
    <cellStyle name="一般 3 2 3 2" xfId="164" xr:uid="{00000000-0005-0000-0000-0000A9040000}"/>
    <cellStyle name="一般 3 2 3 2 2" xfId="425" xr:uid="{00000000-0005-0000-0000-0000AA040000}"/>
    <cellStyle name="一般 3 2 3 2 2 2" xfId="1475" xr:uid="{00000000-0005-0000-0000-0000AB040000}"/>
    <cellStyle name="一般 3 2 3 2 2 3" xfId="950" xr:uid="{00000000-0005-0000-0000-0000AC040000}"/>
    <cellStyle name="一般 3 2 3 2 2 4" xfId="2000" xr:uid="{00000000-0005-0000-0000-0000AD040000}"/>
    <cellStyle name="一般 3 2 3 2 2 5" xfId="2525" xr:uid="{00000000-0005-0000-0000-0000AE040000}"/>
    <cellStyle name="一般 3 2 3 2 3" xfId="1214" xr:uid="{00000000-0005-0000-0000-0000AF040000}"/>
    <cellStyle name="一般 3 2 3 2 4" xfId="689" xr:uid="{00000000-0005-0000-0000-0000B0040000}"/>
    <cellStyle name="一般 3 2 3 2 5" xfId="1739" xr:uid="{00000000-0005-0000-0000-0000B1040000}"/>
    <cellStyle name="一般 3 2 3 2 6" xfId="2264" xr:uid="{00000000-0005-0000-0000-0000B2040000}"/>
    <cellStyle name="一般 3 2 3 3" xfId="299" xr:uid="{00000000-0005-0000-0000-0000B3040000}"/>
    <cellStyle name="一般 3 2 3 3 2" xfId="1349" xr:uid="{00000000-0005-0000-0000-0000B4040000}"/>
    <cellStyle name="一般 3 2 3 3 3" xfId="824" xr:uid="{00000000-0005-0000-0000-0000B5040000}"/>
    <cellStyle name="一般 3 2 3 3 4" xfId="1874" xr:uid="{00000000-0005-0000-0000-0000B6040000}"/>
    <cellStyle name="一般 3 2 3 3 5" xfId="2399" xr:uid="{00000000-0005-0000-0000-0000B7040000}"/>
    <cellStyle name="一般 3 2 3 4" xfId="1088" xr:uid="{00000000-0005-0000-0000-0000B8040000}"/>
    <cellStyle name="一般 3 2 3 5" xfId="563" xr:uid="{00000000-0005-0000-0000-0000B9040000}"/>
    <cellStyle name="一般 3 2 3 6" xfId="1613" xr:uid="{00000000-0005-0000-0000-0000BA040000}"/>
    <cellStyle name="一般 3 2 3 7" xfId="2138" xr:uid="{00000000-0005-0000-0000-0000BB040000}"/>
    <cellStyle name="一般 3 2 4" xfId="47" xr:uid="{00000000-0005-0000-0000-0000BC040000}"/>
    <cellStyle name="一般 3 2 4 2" xfId="173" xr:uid="{00000000-0005-0000-0000-0000BD040000}"/>
    <cellStyle name="一般 3 2 4 2 2" xfId="434" xr:uid="{00000000-0005-0000-0000-0000BE040000}"/>
    <cellStyle name="一般 3 2 4 2 2 2" xfId="1484" xr:uid="{00000000-0005-0000-0000-0000BF040000}"/>
    <cellStyle name="一般 3 2 4 2 2 3" xfId="959" xr:uid="{00000000-0005-0000-0000-0000C0040000}"/>
    <cellStyle name="一般 3 2 4 2 2 4" xfId="2009" xr:uid="{00000000-0005-0000-0000-0000C1040000}"/>
    <cellStyle name="一般 3 2 4 2 2 5" xfId="2534" xr:uid="{00000000-0005-0000-0000-0000C2040000}"/>
    <cellStyle name="一般 3 2 4 2 3" xfId="1223" xr:uid="{00000000-0005-0000-0000-0000C3040000}"/>
    <cellStyle name="一般 3 2 4 2 4" xfId="698" xr:uid="{00000000-0005-0000-0000-0000C4040000}"/>
    <cellStyle name="一般 3 2 4 2 5" xfId="1748" xr:uid="{00000000-0005-0000-0000-0000C5040000}"/>
    <cellStyle name="一般 3 2 4 2 6" xfId="2273" xr:uid="{00000000-0005-0000-0000-0000C6040000}"/>
    <cellStyle name="一般 3 2 4 3" xfId="308" xr:uid="{00000000-0005-0000-0000-0000C7040000}"/>
    <cellStyle name="一般 3 2 4 3 2" xfId="1358" xr:uid="{00000000-0005-0000-0000-0000C8040000}"/>
    <cellStyle name="一般 3 2 4 3 3" xfId="833" xr:uid="{00000000-0005-0000-0000-0000C9040000}"/>
    <cellStyle name="一般 3 2 4 3 4" xfId="1883" xr:uid="{00000000-0005-0000-0000-0000CA040000}"/>
    <cellStyle name="一般 3 2 4 3 5" xfId="2408" xr:uid="{00000000-0005-0000-0000-0000CB040000}"/>
    <cellStyle name="一般 3 2 4 4" xfId="1097" xr:uid="{00000000-0005-0000-0000-0000CC040000}"/>
    <cellStyle name="一般 3 2 4 5" xfId="572" xr:uid="{00000000-0005-0000-0000-0000CD040000}"/>
    <cellStyle name="一般 3 2 4 6" xfId="1622" xr:uid="{00000000-0005-0000-0000-0000CE040000}"/>
    <cellStyle name="一般 3 2 4 7" xfId="2147" xr:uid="{00000000-0005-0000-0000-0000CF040000}"/>
    <cellStyle name="一般 3 2 5" xfId="55" xr:uid="{00000000-0005-0000-0000-0000D0040000}"/>
    <cellStyle name="一般 3 2 5 2" xfId="181" xr:uid="{00000000-0005-0000-0000-0000D1040000}"/>
    <cellStyle name="一般 3 2 5 2 2" xfId="442" xr:uid="{00000000-0005-0000-0000-0000D2040000}"/>
    <cellStyle name="一般 3 2 5 2 2 2" xfId="1492" xr:uid="{00000000-0005-0000-0000-0000D3040000}"/>
    <cellStyle name="一般 3 2 5 2 2 3" xfId="967" xr:uid="{00000000-0005-0000-0000-0000D4040000}"/>
    <cellStyle name="一般 3 2 5 2 2 4" xfId="2017" xr:uid="{00000000-0005-0000-0000-0000D5040000}"/>
    <cellStyle name="一般 3 2 5 2 2 5" xfId="2542" xr:uid="{00000000-0005-0000-0000-0000D6040000}"/>
    <cellStyle name="一般 3 2 5 2 3" xfId="1231" xr:uid="{00000000-0005-0000-0000-0000D7040000}"/>
    <cellStyle name="一般 3 2 5 2 4" xfId="706" xr:uid="{00000000-0005-0000-0000-0000D8040000}"/>
    <cellStyle name="一般 3 2 5 2 5" xfId="1756" xr:uid="{00000000-0005-0000-0000-0000D9040000}"/>
    <cellStyle name="一般 3 2 5 2 6" xfId="2281" xr:uid="{00000000-0005-0000-0000-0000DA040000}"/>
    <cellStyle name="一般 3 2 5 3" xfId="316" xr:uid="{00000000-0005-0000-0000-0000DB040000}"/>
    <cellStyle name="一般 3 2 5 3 2" xfId="1366" xr:uid="{00000000-0005-0000-0000-0000DC040000}"/>
    <cellStyle name="一般 3 2 5 3 3" xfId="841" xr:uid="{00000000-0005-0000-0000-0000DD040000}"/>
    <cellStyle name="一般 3 2 5 3 4" xfId="1891" xr:uid="{00000000-0005-0000-0000-0000DE040000}"/>
    <cellStyle name="一般 3 2 5 3 5" xfId="2416" xr:uid="{00000000-0005-0000-0000-0000DF040000}"/>
    <cellStyle name="一般 3 2 5 4" xfId="1105" xr:uid="{00000000-0005-0000-0000-0000E0040000}"/>
    <cellStyle name="一般 3 2 5 5" xfId="580" xr:uid="{00000000-0005-0000-0000-0000E1040000}"/>
    <cellStyle name="一般 3 2 5 6" xfId="1630" xr:uid="{00000000-0005-0000-0000-0000E2040000}"/>
    <cellStyle name="一般 3 2 5 7" xfId="2155" xr:uid="{00000000-0005-0000-0000-0000E3040000}"/>
    <cellStyle name="一般 3 2 6" xfId="64" xr:uid="{00000000-0005-0000-0000-0000E4040000}"/>
    <cellStyle name="一般 3 2 6 2" xfId="190" xr:uid="{00000000-0005-0000-0000-0000E5040000}"/>
    <cellStyle name="一般 3 2 6 2 2" xfId="451" xr:uid="{00000000-0005-0000-0000-0000E6040000}"/>
    <cellStyle name="一般 3 2 6 2 2 2" xfId="1501" xr:uid="{00000000-0005-0000-0000-0000E7040000}"/>
    <cellStyle name="一般 3 2 6 2 2 3" xfId="976" xr:uid="{00000000-0005-0000-0000-0000E8040000}"/>
    <cellStyle name="一般 3 2 6 2 2 4" xfId="2026" xr:uid="{00000000-0005-0000-0000-0000E9040000}"/>
    <cellStyle name="一般 3 2 6 2 2 5" xfId="2551" xr:uid="{00000000-0005-0000-0000-0000EA040000}"/>
    <cellStyle name="一般 3 2 6 2 3" xfId="1240" xr:uid="{00000000-0005-0000-0000-0000EB040000}"/>
    <cellStyle name="一般 3 2 6 2 4" xfId="715" xr:uid="{00000000-0005-0000-0000-0000EC040000}"/>
    <cellStyle name="一般 3 2 6 2 5" xfId="1765" xr:uid="{00000000-0005-0000-0000-0000ED040000}"/>
    <cellStyle name="一般 3 2 6 2 6" xfId="2290" xr:uid="{00000000-0005-0000-0000-0000EE040000}"/>
    <cellStyle name="一般 3 2 6 3" xfId="325" xr:uid="{00000000-0005-0000-0000-0000EF040000}"/>
    <cellStyle name="一般 3 2 6 3 2" xfId="1375" xr:uid="{00000000-0005-0000-0000-0000F0040000}"/>
    <cellStyle name="一般 3 2 6 3 3" xfId="850" xr:uid="{00000000-0005-0000-0000-0000F1040000}"/>
    <cellStyle name="一般 3 2 6 3 4" xfId="1900" xr:uid="{00000000-0005-0000-0000-0000F2040000}"/>
    <cellStyle name="一般 3 2 6 3 5" xfId="2425" xr:uid="{00000000-0005-0000-0000-0000F3040000}"/>
    <cellStyle name="一般 3 2 6 4" xfId="1114" xr:uid="{00000000-0005-0000-0000-0000F4040000}"/>
    <cellStyle name="一般 3 2 6 5" xfId="589" xr:uid="{00000000-0005-0000-0000-0000F5040000}"/>
    <cellStyle name="一般 3 2 6 6" xfId="1639" xr:uid="{00000000-0005-0000-0000-0000F6040000}"/>
    <cellStyle name="一般 3 2 6 7" xfId="2164" xr:uid="{00000000-0005-0000-0000-0000F7040000}"/>
    <cellStyle name="一般 3 2 7" xfId="73" xr:uid="{00000000-0005-0000-0000-0000F8040000}"/>
    <cellStyle name="一般 3 2 7 2" xfId="199" xr:uid="{00000000-0005-0000-0000-0000F9040000}"/>
    <cellStyle name="一般 3 2 7 2 2" xfId="460" xr:uid="{00000000-0005-0000-0000-0000FA040000}"/>
    <cellStyle name="一般 3 2 7 2 2 2" xfId="1510" xr:uid="{00000000-0005-0000-0000-0000FB040000}"/>
    <cellStyle name="一般 3 2 7 2 2 3" xfId="985" xr:uid="{00000000-0005-0000-0000-0000FC040000}"/>
    <cellStyle name="一般 3 2 7 2 2 4" xfId="2035" xr:uid="{00000000-0005-0000-0000-0000FD040000}"/>
    <cellStyle name="一般 3 2 7 2 2 5" xfId="2560" xr:uid="{00000000-0005-0000-0000-0000FE040000}"/>
    <cellStyle name="一般 3 2 7 2 3" xfId="1249" xr:uid="{00000000-0005-0000-0000-0000FF040000}"/>
    <cellStyle name="一般 3 2 7 2 4" xfId="724" xr:uid="{00000000-0005-0000-0000-000000050000}"/>
    <cellStyle name="一般 3 2 7 2 5" xfId="1774" xr:uid="{00000000-0005-0000-0000-000001050000}"/>
    <cellStyle name="一般 3 2 7 2 6" xfId="2299" xr:uid="{00000000-0005-0000-0000-000002050000}"/>
    <cellStyle name="一般 3 2 7 3" xfId="334" xr:uid="{00000000-0005-0000-0000-000003050000}"/>
    <cellStyle name="一般 3 2 7 3 2" xfId="1384" xr:uid="{00000000-0005-0000-0000-000004050000}"/>
    <cellStyle name="一般 3 2 7 3 3" xfId="859" xr:uid="{00000000-0005-0000-0000-000005050000}"/>
    <cellStyle name="一般 3 2 7 3 4" xfId="1909" xr:uid="{00000000-0005-0000-0000-000006050000}"/>
    <cellStyle name="一般 3 2 7 3 5" xfId="2434" xr:uid="{00000000-0005-0000-0000-000007050000}"/>
    <cellStyle name="一般 3 2 7 4" xfId="1123" xr:uid="{00000000-0005-0000-0000-000008050000}"/>
    <cellStyle name="一般 3 2 7 5" xfId="598" xr:uid="{00000000-0005-0000-0000-000009050000}"/>
    <cellStyle name="一般 3 2 7 6" xfId="1648" xr:uid="{00000000-0005-0000-0000-00000A050000}"/>
    <cellStyle name="一般 3 2 7 7" xfId="2173" xr:uid="{00000000-0005-0000-0000-00000B050000}"/>
    <cellStyle name="一般 3 2 8" xfId="82" xr:uid="{00000000-0005-0000-0000-00000C050000}"/>
    <cellStyle name="一般 3 2 8 2" xfId="208" xr:uid="{00000000-0005-0000-0000-00000D050000}"/>
    <cellStyle name="一般 3 2 8 2 2" xfId="469" xr:uid="{00000000-0005-0000-0000-00000E050000}"/>
    <cellStyle name="一般 3 2 8 2 2 2" xfId="1519" xr:uid="{00000000-0005-0000-0000-00000F050000}"/>
    <cellStyle name="一般 3 2 8 2 2 3" xfId="994" xr:uid="{00000000-0005-0000-0000-000010050000}"/>
    <cellStyle name="一般 3 2 8 2 2 4" xfId="2044" xr:uid="{00000000-0005-0000-0000-000011050000}"/>
    <cellStyle name="一般 3 2 8 2 2 5" xfId="2569" xr:uid="{00000000-0005-0000-0000-000012050000}"/>
    <cellStyle name="一般 3 2 8 2 3" xfId="1258" xr:uid="{00000000-0005-0000-0000-000013050000}"/>
    <cellStyle name="一般 3 2 8 2 4" xfId="733" xr:uid="{00000000-0005-0000-0000-000014050000}"/>
    <cellStyle name="一般 3 2 8 2 5" xfId="1783" xr:uid="{00000000-0005-0000-0000-000015050000}"/>
    <cellStyle name="一般 3 2 8 2 6" xfId="2308" xr:uid="{00000000-0005-0000-0000-000016050000}"/>
    <cellStyle name="一般 3 2 8 3" xfId="343" xr:uid="{00000000-0005-0000-0000-000017050000}"/>
    <cellStyle name="一般 3 2 8 3 2" xfId="1393" xr:uid="{00000000-0005-0000-0000-000018050000}"/>
    <cellStyle name="一般 3 2 8 3 3" xfId="868" xr:uid="{00000000-0005-0000-0000-000019050000}"/>
    <cellStyle name="一般 3 2 8 3 4" xfId="1918" xr:uid="{00000000-0005-0000-0000-00001A050000}"/>
    <cellStyle name="一般 3 2 8 3 5" xfId="2443" xr:uid="{00000000-0005-0000-0000-00001B050000}"/>
    <cellStyle name="一般 3 2 8 4" xfId="1132" xr:uid="{00000000-0005-0000-0000-00001C050000}"/>
    <cellStyle name="一般 3 2 8 5" xfId="607" xr:uid="{00000000-0005-0000-0000-00001D050000}"/>
    <cellStyle name="一般 3 2 8 6" xfId="1657" xr:uid="{00000000-0005-0000-0000-00001E050000}"/>
    <cellStyle name="一般 3 2 8 7" xfId="2182" xr:uid="{00000000-0005-0000-0000-00001F050000}"/>
    <cellStyle name="一般 3 2 9" xfId="91" xr:uid="{00000000-0005-0000-0000-000020050000}"/>
    <cellStyle name="一般 3 2 9 2" xfId="217" xr:uid="{00000000-0005-0000-0000-000021050000}"/>
    <cellStyle name="一般 3 2 9 2 2" xfId="478" xr:uid="{00000000-0005-0000-0000-000022050000}"/>
    <cellStyle name="一般 3 2 9 2 2 2" xfId="1528" xr:uid="{00000000-0005-0000-0000-000023050000}"/>
    <cellStyle name="一般 3 2 9 2 2 3" xfId="1003" xr:uid="{00000000-0005-0000-0000-000024050000}"/>
    <cellStyle name="一般 3 2 9 2 2 4" xfId="2053" xr:uid="{00000000-0005-0000-0000-000025050000}"/>
    <cellStyle name="一般 3 2 9 2 2 5" xfId="2578" xr:uid="{00000000-0005-0000-0000-000026050000}"/>
    <cellStyle name="一般 3 2 9 2 3" xfId="1267" xr:uid="{00000000-0005-0000-0000-000027050000}"/>
    <cellStyle name="一般 3 2 9 2 4" xfId="742" xr:uid="{00000000-0005-0000-0000-000028050000}"/>
    <cellStyle name="一般 3 2 9 2 5" xfId="1792" xr:uid="{00000000-0005-0000-0000-000029050000}"/>
    <cellStyle name="一般 3 2 9 2 6" xfId="2317" xr:uid="{00000000-0005-0000-0000-00002A050000}"/>
    <cellStyle name="一般 3 2 9 3" xfId="352" xr:uid="{00000000-0005-0000-0000-00002B050000}"/>
    <cellStyle name="一般 3 2 9 3 2" xfId="1402" xr:uid="{00000000-0005-0000-0000-00002C050000}"/>
    <cellStyle name="一般 3 2 9 3 3" xfId="877" xr:uid="{00000000-0005-0000-0000-00002D050000}"/>
    <cellStyle name="一般 3 2 9 3 4" xfId="1927" xr:uid="{00000000-0005-0000-0000-00002E050000}"/>
    <cellStyle name="一般 3 2 9 3 5" xfId="2452" xr:uid="{00000000-0005-0000-0000-00002F050000}"/>
    <cellStyle name="一般 3 2 9 4" xfId="1141" xr:uid="{00000000-0005-0000-0000-000030050000}"/>
    <cellStyle name="一般 3 2 9 5" xfId="616" xr:uid="{00000000-0005-0000-0000-000031050000}"/>
    <cellStyle name="一般 3 2 9 6" xfId="1666" xr:uid="{00000000-0005-0000-0000-000032050000}"/>
    <cellStyle name="一般 3 2 9 7" xfId="2191" xr:uid="{00000000-0005-0000-0000-000033050000}"/>
    <cellStyle name="一般 3 20" xfId="7" xr:uid="{00000000-0005-0000-0000-000034050000}"/>
    <cellStyle name="一般 3 20 2" xfId="1057" xr:uid="{00000000-0005-0000-0000-000035050000}"/>
    <cellStyle name="一般 3 20 3" xfId="532" xr:uid="{00000000-0005-0000-0000-000036050000}"/>
    <cellStyle name="一般 3 20 4" xfId="1582" xr:uid="{00000000-0005-0000-0000-000037050000}"/>
    <cellStyle name="一般 3 20 5" xfId="2107" xr:uid="{00000000-0005-0000-0000-000038050000}"/>
    <cellStyle name="一般 3 21" xfId="1054" xr:uid="{00000000-0005-0000-0000-000039050000}"/>
    <cellStyle name="一般 3 22" xfId="529" xr:uid="{00000000-0005-0000-0000-00003A050000}"/>
    <cellStyle name="一般 3 23" xfId="1579" xr:uid="{00000000-0005-0000-0000-00003B050000}"/>
    <cellStyle name="一般 3 24" xfId="2104" xr:uid="{00000000-0005-0000-0000-00003C050000}"/>
    <cellStyle name="一般 3 3" xfId="13" xr:uid="{00000000-0005-0000-0000-00003D050000}"/>
    <cellStyle name="一般 3 3 10" xfId="103" xr:uid="{00000000-0005-0000-0000-00003E050000}"/>
    <cellStyle name="一般 3 3 10 2" xfId="229" xr:uid="{00000000-0005-0000-0000-00003F050000}"/>
    <cellStyle name="一般 3 3 10 2 2" xfId="490" xr:uid="{00000000-0005-0000-0000-000040050000}"/>
    <cellStyle name="一般 3 3 10 2 2 2" xfId="1540" xr:uid="{00000000-0005-0000-0000-000041050000}"/>
    <cellStyle name="一般 3 3 10 2 2 3" xfId="1015" xr:uid="{00000000-0005-0000-0000-000042050000}"/>
    <cellStyle name="一般 3 3 10 2 2 4" xfId="2065" xr:uid="{00000000-0005-0000-0000-000043050000}"/>
    <cellStyle name="一般 3 3 10 2 2 5" xfId="2590" xr:uid="{00000000-0005-0000-0000-000044050000}"/>
    <cellStyle name="一般 3 3 10 2 3" xfId="1279" xr:uid="{00000000-0005-0000-0000-000045050000}"/>
    <cellStyle name="一般 3 3 10 2 4" xfId="754" xr:uid="{00000000-0005-0000-0000-000046050000}"/>
    <cellStyle name="一般 3 3 10 2 5" xfId="1804" xr:uid="{00000000-0005-0000-0000-000047050000}"/>
    <cellStyle name="一般 3 3 10 2 6" xfId="2329" xr:uid="{00000000-0005-0000-0000-000048050000}"/>
    <cellStyle name="一般 3 3 10 3" xfId="364" xr:uid="{00000000-0005-0000-0000-000049050000}"/>
    <cellStyle name="一般 3 3 10 3 2" xfId="1414" xr:uid="{00000000-0005-0000-0000-00004A050000}"/>
    <cellStyle name="一般 3 3 10 3 3" xfId="889" xr:uid="{00000000-0005-0000-0000-00004B050000}"/>
    <cellStyle name="一般 3 3 10 3 4" xfId="1939" xr:uid="{00000000-0005-0000-0000-00004C050000}"/>
    <cellStyle name="一般 3 3 10 3 5" xfId="2464" xr:uid="{00000000-0005-0000-0000-00004D050000}"/>
    <cellStyle name="一般 3 3 10 4" xfId="1153" xr:uid="{00000000-0005-0000-0000-00004E050000}"/>
    <cellStyle name="一般 3 3 10 5" xfId="628" xr:uid="{00000000-0005-0000-0000-00004F050000}"/>
    <cellStyle name="一般 3 3 10 6" xfId="1678" xr:uid="{00000000-0005-0000-0000-000050050000}"/>
    <cellStyle name="一般 3 3 10 7" xfId="2203" xr:uid="{00000000-0005-0000-0000-000051050000}"/>
    <cellStyle name="一般 3 3 11" xfId="112" xr:uid="{00000000-0005-0000-0000-000052050000}"/>
    <cellStyle name="一般 3 3 11 2" xfId="238" xr:uid="{00000000-0005-0000-0000-000053050000}"/>
    <cellStyle name="一般 3 3 11 2 2" xfId="499" xr:uid="{00000000-0005-0000-0000-000054050000}"/>
    <cellStyle name="一般 3 3 11 2 2 2" xfId="1549" xr:uid="{00000000-0005-0000-0000-000055050000}"/>
    <cellStyle name="一般 3 3 11 2 2 3" xfId="1024" xr:uid="{00000000-0005-0000-0000-000056050000}"/>
    <cellStyle name="一般 3 3 11 2 2 4" xfId="2074" xr:uid="{00000000-0005-0000-0000-000057050000}"/>
    <cellStyle name="一般 3 3 11 2 2 5" xfId="2599" xr:uid="{00000000-0005-0000-0000-000058050000}"/>
    <cellStyle name="一般 3 3 11 2 3" xfId="1288" xr:uid="{00000000-0005-0000-0000-000059050000}"/>
    <cellStyle name="一般 3 3 11 2 4" xfId="763" xr:uid="{00000000-0005-0000-0000-00005A050000}"/>
    <cellStyle name="一般 3 3 11 2 5" xfId="1813" xr:uid="{00000000-0005-0000-0000-00005B050000}"/>
    <cellStyle name="一般 3 3 11 2 6" xfId="2338" xr:uid="{00000000-0005-0000-0000-00005C050000}"/>
    <cellStyle name="一般 3 3 11 3" xfId="373" xr:uid="{00000000-0005-0000-0000-00005D050000}"/>
    <cellStyle name="一般 3 3 11 3 2" xfId="1423" xr:uid="{00000000-0005-0000-0000-00005E050000}"/>
    <cellStyle name="一般 3 3 11 3 3" xfId="898" xr:uid="{00000000-0005-0000-0000-00005F050000}"/>
    <cellStyle name="一般 3 3 11 3 4" xfId="1948" xr:uid="{00000000-0005-0000-0000-000060050000}"/>
    <cellStyle name="一般 3 3 11 3 5" xfId="2473" xr:uid="{00000000-0005-0000-0000-000061050000}"/>
    <cellStyle name="一般 3 3 11 4" xfId="1162" xr:uid="{00000000-0005-0000-0000-000062050000}"/>
    <cellStyle name="一般 3 3 11 5" xfId="637" xr:uid="{00000000-0005-0000-0000-000063050000}"/>
    <cellStyle name="一般 3 3 11 6" xfId="1687" xr:uid="{00000000-0005-0000-0000-000064050000}"/>
    <cellStyle name="一般 3 3 11 7" xfId="2212" xr:uid="{00000000-0005-0000-0000-000065050000}"/>
    <cellStyle name="一般 3 3 12" xfId="121" xr:uid="{00000000-0005-0000-0000-000066050000}"/>
    <cellStyle name="一般 3 3 12 2" xfId="247" xr:uid="{00000000-0005-0000-0000-000067050000}"/>
    <cellStyle name="一般 3 3 12 2 2" xfId="508" xr:uid="{00000000-0005-0000-0000-000068050000}"/>
    <cellStyle name="一般 3 3 12 2 2 2" xfId="1558" xr:uid="{00000000-0005-0000-0000-000069050000}"/>
    <cellStyle name="一般 3 3 12 2 2 3" xfId="1033" xr:uid="{00000000-0005-0000-0000-00006A050000}"/>
    <cellStyle name="一般 3 3 12 2 2 4" xfId="2083" xr:uid="{00000000-0005-0000-0000-00006B050000}"/>
    <cellStyle name="一般 3 3 12 2 2 5" xfId="2608" xr:uid="{00000000-0005-0000-0000-00006C050000}"/>
    <cellStyle name="一般 3 3 12 2 3" xfId="1297" xr:uid="{00000000-0005-0000-0000-00006D050000}"/>
    <cellStyle name="一般 3 3 12 2 4" xfId="772" xr:uid="{00000000-0005-0000-0000-00006E050000}"/>
    <cellStyle name="一般 3 3 12 2 5" xfId="1822" xr:uid="{00000000-0005-0000-0000-00006F050000}"/>
    <cellStyle name="一般 3 3 12 2 6" xfId="2347" xr:uid="{00000000-0005-0000-0000-000070050000}"/>
    <cellStyle name="一般 3 3 12 3" xfId="382" xr:uid="{00000000-0005-0000-0000-000071050000}"/>
    <cellStyle name="一般 3 3 12 3 2" xfId="1432" xr:uid="{00000000-0005-0000-0000-000072050000}"/>
    <cellStyle name="一般 3 3 12 3 3" xfId="907" xr:uid="{00000000-0005-0000-0000-000073050000}"/>
    <cellStyle name="一般 3 3 12 3 4" xfId="1957" xr:uid="{00000000-0005-0000-0000-000074050000}"/>
    <cellStyle name="一般 3 3 12 3 5" xfId="2482" xr:uid="{00000000-0005-0000-0000-000075050000}"/>
    <cellStyle name="一般 3 3 12 4" xfId="1171" xr:uid="{00000000-0005-0000-0000-000076050000}"/>
    <cellStyle name="一般 3 3 12 5" xfId="646" xr:uid="{00000000-0005-0000-0000-000077050000}"/>
    <cellStyle name="一般 3 3 12 6" xfId="1696" xr:uid="{00000000-0005-0000-0000-000078050000}"/>
    <cellStyle name="一般 3 3 12 7" xfId="2221" xr:uid="{00000000-0005-0000-0000-000079050000}"/>
    <cellStyle name="一般 3 3 13" xfId="130" xr:uid="{00000000-0005-0000-0000-00007A050000}"/>
    <cellStyle name="一般 3 3 13 2" xfId="256" xr:uid="{00000000-0005-0000-0000-00007B050000}"/>
    <cellStyle name="一般 3 3 13 2 2" xfId="517" xr:uid="{00000000-0005-0000-0000-00007C050000}"/>
    <cellStyle name="一般 3 3 13 2 2 2" xfId="1567" xr:uid="{00000000-0005-0000-0000-00007D050000}"/>
    <cellStyle name="一般 3 3 13 2 2 3" xfId="1042" xr:uid="{00000000-0005-0000-0000-00007E050000}"/>
    <cellStyle name="一般 3 3 13 2 2 4" xfId="2092" xr:uid="{00000000-0005-0000-0000-00007F050000}"/>
    <cellStyle name="一般 3 3 13 2 2 5" xfId="2617" xr:uid="{00000000-0005-0000-0000-000080050000}"/>
    <cellStyle name="一般 3 3 13 2 3" xfId="1306" xr:uid="{00000000-0005-0000-0000-000081050000}"/>
    <cellStyle name="一般 3 3 13 2 4" xfId="781" xr:uid="{00000000-0005-0000-0000-000082050000}"/>
    <cellStyle name="一般 3 3 13 2 5" xfId="1831" xr:uid="{00000000-0005-0000-0000-000083050000}"/>
    <cellStyle name="一般 3 3 13 2 6" xfId="2356" xr:uid="{00000000-0005-0000-0000-000084050000}"/>
    <cellStyle name="一般 3 3 13 3" xfId="391" xr:uid="{00000000-0005-0000-0000-000085050000}"/>
    <cellStyle name="一般 3 3 13 3 2" xfId="1441" xr:uid="{00000000-0005-0000-0000-000086050000}"/>
    <cellStyle name="一般 3 3 13 3 3" xfId="916" xr:uid="{00000000-0005-0000-0000-000087050000}"/>
    <cellStyle name="一般 3 3 13 3 4" xfId="1966" xr:uid="{00000000-0005-0000-0000-000088050000}"/>
    <cellStyle name="一般 3 3 13 3 5" xfId="2491" xr:uid="{00000000-0005-0000-0000-000089050000}"/>
    <cellStyle name="一般 3 3 13 4" xfId="1180" xr:uid="{00000000-0005-0000-0000-00008A050000}"/>
    <cellStyle name="一般 3 3 13 5" xfId="655" xr:uid="{00000000-0005-0000-0000-00008B050000}"/>
    <cellStyle name="一般 3 3 13 6" xfId="1705" xr:uid="{00000000-0005-0000-0000-00008C050000}"/>
    <cellStyle name="一般 3 3 13 7" xfId="2230" xr:uid="{00000000-0005-0000-0000-00008D050000}"/>
    <cellStyle name="一般 3 3 14" xfId="139" xr:uid="{00000000-0005-0000-0000-00008E050000}"/>
    <cellStyle name="一般 3 3 14 2" xfId="265" xr:uid="{00000000-0005-0000-0000-00008F050000}"/>
    <cellStyle name="一般 3 3 14 2 2" xfId="526" xr:uid="{00000000-0005-0000-0000-000090050000}"/>
    <cellStyle name="一般 3 3 14 2 2 2" xfId="1576" xr:uid="{00000000-0005-0000-0000-000091050000}"/>
    <cellStyle name="一般 3 3 14 2 2 3" xfId="1051" xr:uid="{00000000-0005-0000-0000-000092050000}"/>
    <cellStyle name="一般 3 3 14 2 2 4" xfId="2101" xr:uid="{00000000-0005-0000-0000-000093050000}"/>
    <cellStyle name="一般 3 3 14 2 2 5" xfId="2626" xr:uid="{00000000-0005-0000-0000-000094050000}"/>
    <cellStyle name="一般 3 3 14 2 3" xfId="1315" xr:uid="{00000000-0005-0000-0000-000095050000}"/>
    <cellStyle name="一般 3 3 14 2 4" xfId="790" xr:uid="{00000000-0005-0000-0000-000096050000}"/>
    <cellStyle name="一般 3 3 14 2 5" xfId="1840" xr:uid="{00000000-0005-0000-0000-000097050000}"/>
    <cellStyle name="一般 3 3 14 2 6" xfId="2365" xr:uid="{00000000-0005-0000-0000-000098050000}"/>
    <cellStyle name="一般 3 3 14 3" xfId="400" xr:uid="{00000000-0005-0000-0000-000099050000}"/>
    <cellStyle name="一般 3 3 14 3 2" xfId="1450" xr:uid="{00000000-0005-0000-0000-00009A050000}"/>
    <cellStyle name="一般 3 3 14 3 3" xfId="925" xr:uid="{00000000-0005-0000-0000-00009B050000}"/>
    <cellStyle name="一般 3 3 14 3 4" xfId="1975" xr:uid="{00000000-0005-0000-0000-00009C050000}"/>
    <cellStyle name="一般 3 3 14 3 5" xfId="2500" xr:uid="{00000000-0005-0000-0000-00009D050000}"/>
    <cellStyle name="一般 3 3 14 4" xfId="1189" xr:uid="{00000000-0005-0000-0000-00009E050000}"/>
    <cellStyle name="一般 3 3 14 5" xfId="664" xr:uid="{00000000-0005-0000-0000-00009F050000}"/>
    <cellStyle name="一般 3 3 14 6" xfId="1714" xr:uid="{00000000-0005-0000-0000-0000A0050000}"/>
    <cellStyle name="一般 3 3 14 7" xfId="2239" xr:uid="{00000000-0005-0000-0000-0000A1050000}"/>
    <cellStyle name="一般 3 3 15" xfId="22" xr:uid="{00000000-0005-0000-0000-0000A2050000}"/>
    <cellStyle name="一般 3 3 15 2" xfId="283" xr:uid="{00000000-0005-0000-0000-0000A3050000}"/>
    <cellStyle name="一般 3 3 15 2 2" xfId="1333" xr:uid="{00000000-0005-0000-0000-0000A4050000}"/>
    <cellStyle name="一般 3 3 15 2 3" xfId="808" xr:uid="{00000000-0005-0000-0000-0000A5050000}"/>
    <cellStyle name="一般 3 3 15 2 4" xfId="1858" xr:uid="{00000000-0005-0000-0000-0000A6050000}"/>
    <cellStyle name="一般 3 3 15 2 5" xfId="2383" xr:uid="{00000000-0005-0000-0000-0000A7050000}"/>
    <cellStyle name="一般 3 3 15 3" xfId="1072" xr:uid="{00000000-0005-0000-0000-0000A8050000}"/>
    <cellStyle name="一般 3 3 15 4" xfId="547" xr:uid="{00000000-0005-0000-0000-0000A9050000}"/>
    <cellStyle name="一般 3 3 15 5" xfId="1597" xr:uid="{00000000-0005-0000-0000-0000AA050000}"/>
    <cellStyle name="一般 3 3 15 6" xfId="2122" xr:uid="{00000000-0005-0000-0000-0000AB050000}"/>
    <cellStyle name="一般 3 3 16" xfId="148" xr:uid="{00000000-0005-0000-0000-0000AC050000}"/>
    <cellStyle name="一般 3 3 16 2" xfId="409" xr:uid="{00000000-0005-0000-0000-0000AD050000}"/>
    <cellStyle name="一般 3 3 16 2 2" xfId="1459" xr:uid="{00000000-0005-0000-0000-0000AE050000}"/>
    <cellStyle name="一般 3 3 16 2 3" xfId="934" xr:uid="{00000000-0005-0000-0000-0000AF050000}"/>
    <cellStyle name="一般 3 3 16 2 4" xfId="1984" xr:uid="{00000000-0005-0000-0000-0000B0050000}"/>
    <cellStyle name="一般 3 3 16 2 5" xfId="2509" xr:uid="{00000000-0005-0000-0000-0000B1050000}"/>
    <cellStyle name="一般 3 3 16 3" xfId="1198" xr:uid="{00000000-0005-0000-0000-0000B2050000}"/>
    <cellStyle name="一般 3 3 16 4" xfId="673" xr:uid="{00000000-0005-0000-0000-0000B3050000}"/>
    <cellStyle name="一般 3 3 16 5" xfId="1723" xr:uid="{00000000-0005-0000-0000-0000B4050000}"/>
    <cellStyle name="一般 3 3 16 6" xfId="2248" xr:uid="{00000000-0005-0000-0000-0000B5050000}"/>
    <cellStyle name="一般 3 3 17" xfId="274" xr:uid="{00000000-0005-0000-0000-0000B6050000}"/>
    <cellStyle name="一般 3 3 17 2" xfId="1324" xr:uid="{00000000-0005-0000-0000-0000B7050000}"/>
    <cellStyle name="一般 3 3 17 3" xfId="799" xr:uid="{00000000-0005-0000-0000-0000B8050000}"/>
    <cellStyle name="一般 3 3 17 4" xfId="1849" xr:uid="{00000000-0005-0000-0000-0000B9050000}"/>
    <cellStyle name="一般 3 3 17 5" xfId="2374" xr:uid="{00000000-0005-0000-0000-0000BA050000}"/>
    <cellStyle name="一般 3 3 18" xfId="1063" xr:uid="{00000000-0005-0000-0000-0000BB050000}"/>
    <cellStyle name="一般 3 3 19" xfId="538" xr:uid="{00000000-0005-0000-0000-0000BC050000}"/>
    <cellStyle name="一般 3 3 2" xfId="32" xr:uid="{00000000-0005-0000-0000-0000BD050000}"/>
    <cellStyle name="一般 3 3 2 2" xfId="158" xr:uid="{00000000-0005-0000-0000-0000BE050000}"/>
    <cellStyle name="一般 3 3 2 2 2" xfId="419" xr:uid="{00000000-0005-0000-0000-0000BF050000}"/>
    <cellStyle name="一般 3 3 2 2 2 2" xfId="1469" xr:uid="{00000000-0005-0000-0000-0000C0050000}"/>
    <cellStyle name="一般 3 3 2 2 2 3" xfId="944" xr:uid="{00000000-0005-0000-0000-0000C1050000}"/>
    <cellStyle name="一般 3 3 2 2 2 4" xfId="1994" xr:uid="{00000000-0005-0000-0000-0000C2050000}"/>
    <cellStyle name="一般 3 3 2 2 2 5" xfId="2519" xr:uid="{00000000-0005-0000-0000-0000C3050000}"/>
    <cellStyle name="一般 3 3 2 2 3" xfId="1208" xr:uid="{00000000-0005-0000-0000-0000C4050000}"/>
    <cellStyle name="一般 3 3 2 2 4" xfId="683" xr:uid="{00000000-0005-0000-0000-0000C5050000}"/>
    <cellStyle name="一般 3 3 2 2 5" xfId="1733" xr:uid="{00000000-0005-0000-0000-0000C6050000}"/>
    <cellStyle name="一般 3 3 2 2 6" xfId="2258" xr:uid="{00000000-0005-0000-0000-0000C7050000}"/>
    <cellStyle name="一般 3 3 2 3" xfId="293" xr:uid="{00000000-0005-0000-0000-0000C8050000}"/>
    <cellStyle name="一般 3 3 2 3 2" xfId="1343" xr:uid="{00000000-0005-0000-0000-0000C9050000}"/>
    <cellStyle name="一般 3 3 2 3 3" xfId="818" xr:uid="{00000000-0005-0000-0000-0000CA050000}"/>
    <cellStyle name="一般 3 3 2 3 4" xfId="1868" xr:uid="{00000000-0005-0000-0000-0000CB050000}"/>
    <cellStyle name="一般 3 3 2 3 5" xfId="2393" xr:uid="{00000000-0005-0000-0000-0000CC050000}"/>
    <cellStyle name="一般 3 3 2 4" xfId="1082" xr:uid="{00000000-0005-0000-0000-0000CD050000}"/>
    <cellStyle name="一般 3 3 2 5" xfId="557" xr:uid="{00000000-0005-0000-0000-0000CE050000}"/>
    <cellStyle name="一般 3 3 2 6" xfId="1607" xr:uid="{00000000-0005-0000-0000-0000CF050000}"/>
    <cellStyle name="一般 3 3 2 7" xfId="2132" xr:uid="{00000000-0005-0000-0000-0000D0050000}"/>
    <cellStyle name="一般 3 3 20" xfId="1588" xr:uid="{00000000-0005-0000-0000-0000D1050000}"/>
    <cellStyle name="一般 3 3 21" xfId="2113" xr:uid="{00000000-0005-0000-0000-0000D2050000}"/>
    <cellStyle name="一般 3 3 3" xfId="41" xr:uid="{00000000-0005-0000-0000-0000D3050000}"/>
    <cellStyle name="一般 3 3 3 2" xfId="167" xr:uid="{00000000-0005-0000-0000-0000D4050000}"/>
    <cellStyle name="一般 3 3 3 2 2" xfId="428" xr:uid="{00000000-0005-0000-0000-0000D5050000}"/>
    <cellStyle name="一般 3 3 3 2 2 2" xfId="1478" xr:uid="{00000000-0005-0000-0000-0000D6050000}"/>
    <cellStyle name="一般 3 3 3 2 2 3" xfId="953" xr:uid="{00000000-0005-0000-0000-0000D7050000}"/>
    <cellStyle name="一般 3 3 3 2 2 4" xfId="2003" xr:uid="{00000000-0005-0000-0000-0000D8050000}"/>
    <cellStyle name="一般 3 3 3 2 2 5" xfId="2528" xr:uid="{00000000-0005-0000-0000-0000D9050000}"/>
    <cellStyle name="一般 3 3 3 2 3" xfId="1217" xr:uid="{00000000-0005-0000-0000-0000DA050000}"/>
    <cellStyle name="一般 3 3 3 2 4" xfId="692" xr:uid="{00000000-0005-0000-0000-0000DB050000}"/>
    <cellStyle name="一般 3 3 3 2 5" xfId="1742" xr:uid="{00000000-0005-0000-0000-0000DC050000}"/>
    <cellStyle name="一般 3 3 3 2 6" xfId="2267" xr:uid="{00000000-0005-0000-0000-0000DD050000}"/>
    <cellStyle name="一般 3 3 3 3" xfId="302" xr:uid="{00000000-0005-0000-0000-0000DE050000}"/>
    <cellStyle name="一般 3 3 3 3 2" xfId="1352" xr:uid="{00000000-0005-0000-0000-0000DF050000}"/>
    <cellStyle name="一般 3 3 3 3 3" xfId="827" xr:uid="{00000000-0005-0000-0000-0000E0050000}"/>
    <cellStyle name="一般 3 3 3 3 4" xfId="1877" xr:uid="{00000000-0005-0000-0000-0000E1050000}"/>
    <cellStyle name="一般 3 3 3 3 5" xfId="2402" xr:uid="{00000000-0005-0000-0000-0000E2050000}"/>
    <cellStyle name="一般 3 3 3 4" xfId="1091" xr:uid="{00000000-0005-0000-0000-0000E3050000}"/>
    <cellStyle name="一般 3 3 3 5" xfId="566" xr:uid="{00000000-0005-0000-0000-0000E4050000}"/>
    <cellStyle name="一般 3 3 3 6" xfId="1616" xr:uid="{00000000-0005-0000-0000-0000E5050000}"/>
    <cellStyle name="一般 3 3 3 7" xfId="2141" xr:uid="{00000000-0005-0000-0000-0000E6050000}"/>
    <cellStyle name="一般 3 3 4" xfId="49" xr:uid="{00000000-0005-0000-0000-0000E7050000}"/>
    <cellStyle name="一般 3 3 4 2" xfId="175" xr:uid="{00000000-0005-0000-0000-0000E8050000}"/>
    <cellStyle name="一般 3 3 4 2 2" xfId="436" xr:uid="{00000000-0005-0000-0000-0000E9050000}"/>
    <cellStyle name="一般 3 3 4 2 2 2" xfId="1486" xr:uid="{00000000-0005-0000-0000-0000EA050000}"/>
    <cellStyle name="一般 3 3 4 2 2 3" xfId="961" xr:uid="{00000000-0005-0000-0000-0000EB050000}"/>
    <cellStyle name="一般 3 3 4 2 2 4" xfId="2011" xr:uid="{00000000-0005-0000-0000-0000EC050000}"/>
    <cellStyle name="一般 3 3 4 2 2 5" xfId="2536" xr:uid="{00000000-0005-0000-0000-0000ED050000}"/>
    <cellStyle name="一般 3 3 4 2 3" xfId="1225" xr:uid="{00000000-0005-0000-0000-0000EE050000}"/>
    <cellStyle name="一般 3 3 4 2 4" xfId="700" xr:uid="{00000000-0005-0000-0000-0000EF050000}"/>
    <cellStyle name="一般 3 3 4 2 5" xfId="1750" xr:uid="{00000000-0005-0000-0000-0000F0050000}"/>
    <cellStyle name="一般 3 3 4 2 6" xfId="2275" xr:uid="{00000000-0005-0000-0000-0000F1050000}"/>
    <cellStyle name="一般 3 3 4 3" xfId="310" xr:uid="{00000000-0005-0000-0000-0000F2050000}"/>
    <cellStyle name="一般 3 3 4 3 2" xfId="1360" xr:uid="{00000000-0005-0000-0000-0000F3050000}"/>
    <cellStyle name="一般 3 3 4 3 3" xfId="835" xr:uid="{00000000-0005-0000-0000-0000F4050000}"/>
    <cellStyle name="一般 3 3 4 3 4" xfId="1885" xr:uid="{00000000-0005-0000-0000-0000F5050000}"/>
    <cellStyle name="一般 3 3 4 3 5" xfId="2410" xr:uid="{00000000-0005-0000-0000-0000F6050000}"/>
    <cellStyle name="一般 3 3 4 4" xfId="1099" xr:uid="{00000000-0005-0000-0000-0000F7050000}"/>
    <cellStyle name="一般 3 3 4 5" xfId="574" xr:uid="{00000000-0005-0000-0000-0000F8050000}"/>
    <cellStyle name="一般 3 3 4 6" xfId="1624" xr:uid="{00000000-0005-0000-0000-0000F9050000}"/>
    <cellStyle name="一般 3 3 4 7" xfId="2149" xr:uid="{00000000-0005-0000-0000-0000FA050000}"/>
    <cellStyle name="一般 3 3 5" xfId="58" xr:uid="{00000000-0005-0000-0000-0000FB050000}"/>
    <cellStyle name="一般 3 3 5 2" xfId="184" xr:uid="{00000000-0005-0000-0000-0000FC050000}"/>
    <cellStyle name="一般 3 3 5 2 2" xfId="445" xr:uid="{00000000-0005-0000-0000-0000FD050000}"/>
    <cellStyle name="一般 3 3 5 2 2 2" xfId="1495" xr:uid="{00000000-0005-0000-0000-0000FE050000}"/>
    <cellStyle name="一般 3 3 5 2 2 3" xfId="970" xr:uid="{00000000-0005-0000-0000-0000FF050000}"/>
    <cellStyle name="一般 3 3 5 2 2 4" xfId="2020" xr:uid="{00000000-0005-0000-0000-000000060000}"/>
    <cellStyle name="一般 3 3 5 2 2 5" xfId="2545" xr:uid="{00000000-0005-0000-0000-000001060000}"/>
    <cellStyle name="一般 3 3 5 2 3" xfId="1234" xr:uid="{00000000-0005-0000-0000-000002060000}"/>
    <cellStyle name="一般 3 3 5 2 4" xfId="709" xr:uid="{00000000-0005-0000-0000-000003060000}"/>
    <cellStyle name="一般 3 3 5 2 5" xfId="1759" xr:uid="{00000000-0005-0000-0000-000004060000}"/>
    <cellStyle name="一般 3 3 5 2 6" xfId="2284" xr:uid="{00000000-0005-0000-0000-000005060000}"/>
    <cellStyle name="一般 3 3 5 3" xfId="319" xr:uid="{00000000-0005-0000-0000-000006060000}"/>
    <cellStyle name="一般 3 3 5 3 2" xfId="1369" xr:uid="{00000000-0005-0000-0000-000007060000}"/>
    <cellStyle name="一般 3 3 5 3 3" xfId="844" xr:uid="{00000000-0005-0000-0000-000008060000}"/>
    <cellStyle name="一般 3 3 5 3 4" xfId="1894" xr:uid="{00000000-0005-0000-0000-000009060000}"/>
    <cellStyle name="一般 3 3 5 3 5" xfId="2419" xr:uid="{00000000-0005-0000-0000-00000A060000}"/>
    <cellStyle name="一般 3 3 5 4" xfId="1108" xr:uid="{00000000-0005-0000-0000-00000B060000}"/>
    <cellStyle name="一般 3 3 5 5" xfId="583" xr:uid="{00000000-0005-0000-0000-00000C060000}"/>
    <cellStyle name="一般 3 3 5 6" xfId="1633" xr:uid="{00000000-0005-0000-0000-00000D060000}"/>
    <cellStyle name="一般 3 3 5 7" xfId="2158" xr:uid="{00000000-0005-0000-0000-00000E060000}"/>
    <cellStyle name="一般 3 3 6" xfId="67" xr:uid="{00000000-0005-0000-0000-00000F060000}"/>
    <cellStyle name="一般 3 3 6 2" xfId="193" xr:uid="{00000000-0005-0000-0000-000010060000}"/>
    <cellStyle name="一般 3 3 6 2 2" xfId="454" xr:uid="{00000000-0005-0000-0000-000011060000}"/>
    <cellStyle name="一般 3 3 6 2 2 2" xfId="1504" xr:uid="{00000000-0005-0000-0000-000012060000}"/>
    <cellStyle name="一般 3 3 6 2 2 3" xfId="979" xr:uid="{00000000-0005-0000-0000-000013060000}"/>
    <cellStyle name="一般 3 3 6 2 2 4" xfId="2029" xr:uid="{00000000-0005-0000-0000-000014060000}"/>
    <cellStyle name="一般 3 3 6 2 2 5" xfId="2554" xr:uid="{00000000-0005-0000-0000-000015060000}"/>
    <cellStyle name="一般 3 3 6 2 3" xfId="1243" xr:uid="{00000000-0005-0000-0000-000016060000}"/>
    <cellStyle name="一般 3 3 6 2 4" xfId="718" xr:uid="{00000000-0005-0000-0000-000017060000}"/>
    <cellStyle name="一般 3 3 6 2 5" xfId="1768" xr:uid="{00000000-0005-0000-0000-000018060000}"/>
    <cellStyle name="一般 3 3 6 2 6" xfId="2293" xr:uid="{00000000-0005-0000-0000-000019060000}"/>
    <cellStyle name="一般 3 3 6 3" xfId="328" xr:uid="{00000000-0005-0000-0000-00001A060000}"/>
    <cellStyle name="一般 3 3 6 3 2" xfId="1378" xr:uid="{00000000-0005-0000-0000-00001B060000}"/>
    <cellStyle name="一般 3 3 6 3 3" xfId="853" xr:uid="{00000000-0005-0000-0000-00001C060000}"/>
    <cellStyle name="一般 3 3 6 3 4" xfId="1903" xr:uid="{00000000-0005-0000-0000-00001D060000}"/>
    <cellStyle name="一般 3 3 6 3 5" xfId="2428" xr:uid="{00000000-0005-0000-0000-00001E060000}"/>
    <cellStyle name="一般 3 3 6 4" xfId="1117" xr:uid="{00000000-0005-0000-0000-00001F060000}"/>
    <cellStyle name="一般 3 3 6 5" xfId="592" xr:uid="{00000000-0005-0000-0000-000020060000}"/>
    <cellStyle name="一般 3 3 6 6" xfId="1642" xr:uid="{00000000-0005-0000-0000-000021060000}"/>
    <cellStyle name="一般 3 3 6 7" xfId="2167" xr:uid="{00000000-0005-0000-0000-000022060000}"/>
    <cellStyle name="一般 3 3 7" xfId="76" xr:uid="{00000000-0005-0000-0000-000023060000}"/>
    <cellStyle name="一般 3 3 7 2" xfId="202" xr:uid="{00000000-0005-0000-0000-000024060000}"/>
    <cellStyle name="一般 3 3 7 2 2" xfId="463" xr:uid="{00000000-0005-0000-0000-000025060000}"/>
    <cellStyle name="一般 3 3 7 2 2 2" xfId="1513" xr:uid="{00000000-0005-0000-0000-000026060000}"/>
    <cellStyle name="一般 3 3 7 2 2 3" xfId="988" xr:uid="{00000000-0005-0000-0000-000027060000}"/>
    <cellStyle name="一般 3 3 7 2 2 4" xfId="2038" xr:uid="{00000000-0005-0000-0000-000028060000}"/>
    <cellStyle name="一般 3 3 7 2 2 5" xfId="2563" xr:uid="{00000000-0005-0000-0000-000029060000}"/>
    <cellStyle name="一般 3 3 7 2 3" xfId="1252" xr:uid="{00000000-0005-0000-0000-00002A060000}"/>
    <cellStyle name="一般 3 3 7 2 4" xfId="727" xr:uid="{00000000-0005-0000-0000-00002B060000}"/>
    <cellStyle name="一般 3 3 7 2 5" xfId="1777" xr:uid="{00000000-0005-0000-0000-00002C060000}"/>
    <cellStyle name="一般 3 3 7 2 6" xfId="2302" xr:uid="{00000000-0005-0000-0000-00002D060000}"/>
    <cellStyle name="一般 3 3 7 3" xfId="337" xr:uid="{00000000-0005-0000-0000-00002E060000}"/>
    <cellStyle name="一般 3 3 7 3 2" xfId="1387" xr:uid="{00000000-0005-0000-0000-00002F060000}"/>
    <cellStyle name="一般 3 3 7 3 3" xfId="862" xr:uid="{00000000-0005-0000-0000-000030060000}"/>
    <cellStyle name="一般 3 3 7 3 4" xfId="1912" xr:uid="{00000000-0005-0000-0000-000031060000}"/>
    <cellStyle name="一般 3 3 7 3 5" xfId="2437" xr:uid="{00000000-0005-0000-0000-000032060000}"/>
    <cellStyle name="一般 3 3 7 4" xfId="1126" xr:uid="{00000000-0005-0000-0000-000033060000}"/>
    <cellStyle name="一般 3 3 7 5" xfId="601" xr:uid="{00000000-0005-0000-0000-000034060000}"/>
    <cellStyle name="一般 3 3 7 6" xfId="1651" xr:uid="{00000000-0005-0000-0000-000035060000}"/>
    <cellStyle name="一般 3 3 7 7" xfId="2176" xr:uid="{00000000-0005-0000-0000-000036060000}"/>
    <cellStyle name="一般 3 3 8" xfId="85" xr:uid="{00000000-0005-0000-0000-000037060000}"/>
    <cellStyle name="一般 3 3 8 2" xfId="211" xr:uid="{00000000-0005-0000-0000-000038060000}"/>
    <cellStyle name="一般 3 3 8 2 2" xfId="472" xr:uid="{00000000-0005-0000-0000-000039060000}"/>
    <cellStyle name="一般 3 3 8 2 2 2" xfId="1522" xr:uid="{00000000-0005-0000-0000-00003A060000}"/>
    <cellStyle name="一般 3 3 8 2 2 3" xfId="997" xr:uid="{00000000-0005-0000-0000-00003B060000}"/>
    <cellStyle name="一般 3 3 8 2 2 4" xfId="2047" xr:uid="{00000000-0005-0000-0000-00003C060000}"/>
    <cellStyle name="一般 3 3 8 2 2 5" xfId="2572" xr:uid="{00000000-0005-0000-0000-00003D060000}"/>
    <cellStyle name="一般 3 3 8 2 3" xfId="1261" xr:uid="{00000000-0005-0000-0000-00003E060000}"/>
    <cellStyle name="一般 3 3 8 2 4" xfId="736" xr:uid="{00000000-0005-0000-0000-00003F060000}"/>
    <cellStyle name="一般 3 3 8 2 5" xfId="1786" xr:uid="{00000000-0005-0000-0000-000040060000}"/>
    <cellStyle name="一般 3 3 8 2 6" xfId="2311" xr:uid="{00000000-0005-0000-0000-000041060000}"/>
    <cellStyle name="一般 3 3 8 3" xfId="346" xr:uid="{00000000-0005-0000-0000-000042060000}"/>
    <cellStyle name="一般 3 3 8 3 2" xfId="1396" xr:uid="{00000000-0005-0000-0000-000043060000}"/>
    <cellStyle name="一般 3 3 8 3 3" xfId="871" xr:uid="{00000000-0005-0000-0000-000044060000}"/>
    <cellStyle name="一般 3 3 8 3 4" xfId="1921" xr:uid="{00000000-0005-0000-0000-000045060000}"/>
    <cellStyle name="一般 3 3 8 3 5" xfId="2446" xr:uid="{00000000-0005-0000-0000-000046060000}"/>
    <cellStyle name="一般 3 3 8 4" xfId="1135" xr:uid="{00000000-0005-0000-0000-000047060000}"/>
    <cellStyle name="一般 3 3 8 5" xfId="610" xr:uid="{00000000-0005-0000-0000-000048060000}"/>
    <cellStyle name="一般 3 3 8 6" xfId="1660" xr:uid="{00000000-0005-0000-0000-000049060000}"/>
    <cellStyle name="一般 3 3 8 7" xfId="2185" xr:uid="{00000000-0005-0000-0000-00004A060000}"/>
    <cellStyle name="一般 3 3 9" xfId="94" xr:uid="{00000000-0005-0000-0000-00004B060000}"/>
    <cellStyle name="一般 3 3 9 2" xfId="220" xr:uid="{00000000-0005-0000-0000-00004C060000}"/>
    <cellStyle name="一般 3 3 9 2 2" xfId="481" xr:uid="{00000000-0005-0000-0000-00004D060000}"/>
    <cellStyle name="一般 3 3 9 2 2 2" xfId="1531" xr:uid="{00000000-0005-0000-0000-00004E060000}"/>
    <cellStyle name="一般 3 3 9 2 2 3" xfId="1006" xr:uid="{00000000-0005-0000-0000-00004F060000}"/>
    <cellStyle name="一般 3 3 9 2 2 4" xfId="2056" xr:uid="{00000000-0005-0000-0000-000050060000}"/>
    <cellStyle name="一般 3 3 9 2 2 5" xfId="2581" xr:uid="{00000000-0005-0000-0000-000051060000}"/>
    <cellStyle name="一般 3 3 9 2 3" xfId="1270" xr:uid="{00000000-0005-0000-0000-000052060000}"/>
    <cellStyle name="一般 3 3 9 2 4" xfId="745" xr:uid="{00000000-0005-0000-0000-000053060000}"/>
    <cellStyle name="一般 3 3 9 2 5" xfId="1795" xr:uid="{00000000-0005-0000-0000-000054060000}"/>
    <cellStyle name="一般 3 3 9 2 6" xfId="2320" xr:uid="{00000000-0005-0000-0000-000055060000}"/>
    <cellStyle name="一般 3 3 9 3" xfId="355" xr:uid="{00000000-0005-0000-0000-000056060000}"/>
    <cellStyle name="一般 3 3 9 3 2" xfId="1405" xr:uid="{00000000-0005-0000-0000-000057060000}"/>
    <cellStyle name="一般 3 3 9 3 3" xfId="880" xr:uid="{00000000-0005-0000-0000-000058060000}"/>
    <cellStyle name="一般 3 3 9 3 4" xfId="1930" xr:uid="{00000000-0005-0000-0000-000059060000}"/>
    <cellStyle name="一般 3 3 9 3 5" xfId="2455" xr:uid="{00000000-0005-0000-0000-00005A060000}"/>
    <cellStyle name="一般 3 3 9 4" xfId="1144" xr:uid="{00000000-0005-0000-0000-00005B060000}"/>
    <cellStyle name="一般 3 3 9 5" xfId="619" xr:uid="{00000000-0005-0000-0000-00005C060000}"/>
    <cellStyle name="一般 3 3 9 6" xfId="1669" xr:uid="{00000000-0005-0000-0000-00005D060000}"/>
    <cellStyle name="一般 3 3 9 7" xfId="2194" xr:uid="{00000000-0005-0000-0000-00005E060000}"/>
    <cellStyle name="一般 3 4" xfId="26" xr:uid="{00000000-0005-0000-0000-00005F060000}"/>
    <cellStyle name="一般 3 4 2" xfId="152" xr:uid="{00000000-0005-0000-0000-000060060000}"/>
    <cellStyle name="一般 3 4 2 2" xfId="413" xr:uid="{00000000-0005-0000-0000-000061060000}"/>
    <cellStyle name="一般 3 4 2 2 2" xfId="1463" xr:uid="{00000000-0005-0000-0000-000062060000}"/>
    <cellStyle name="一般 3 4 2 2 3" xfId="938" xr:uid="{00000000-0005-0000-0000-000063060000}"/>
    <cellStyle name="一般 3 4 2 2 4" xfId="1988" xr:uid="{00000000-0005-0000-0000-000064060000}"/>
    <cellStyle name="一般 3 4 2 2 5" xfId="2513" xr:uid="{00000000-0005-0000-0000-000065060000}"/>
    <cellStyle name="一般 3 4 2 3" xfId="1202" xr:uid="{00000000-0005-0000-0000-000066060000}"/>
    <cellStyle name="一般 3 4 2 4" xfId="677" xr:uid="{00000000-0005-0000-0000-000067060000}"/>
    <cellStyle name="一般 3 4 2 5" xfId="1727" xr:uid="{00000000-0005-0000-0000-000068060000}"/>
    <cellStyle name="一般 3 4 2 6" xfId="2252" xr:uid="{00000000-0005-0000-0000-000069060000}"/>
    <cellStyle name="一般 3 4 3" xfId="287" xr:uid="{00000000-0005-0000-0000-00006A060000}"/>
    <cellStyle name="一般 3 4 3 2" xfId="1337" xr:uid="{00000000-0005-0000-0000-00006B060000}"/>
    <cellStyle name="一般 3 4 3 3" xfId="812" xr:uid="{00000000-0005-0000-0000-00006C060000}"/>
    <cellStyle name="一般 3 4 3 4" xfId="1862" xr:uid="{00000000-0005-0000-0000-00006D060000}"/>
    <cellStyle name="一般 3 4 3 5" xfId="2387" xr:uid="{00000000-0005-0000-0000-00006E060000}"/>
    <cellStyle name="一般 3 4 4" xfId="1076" xr:uid="{00000000-0005-0000-0000-00006F060000}"/>
    <cellStyle name="一般 3 4 5" xfId="551" xr:uid="{00000000-0005-0000-0000-000070060000}"/>
    <cellStyle name="一般 3 4 6" xfId="1601" xr:uid="{00000000-0005-0000-0000-000071060000}"/>
    <cellStyle name="一般 3 4 7" xfId="2126" xr:uid="{00000000-0005-0000-0000-000072060000}"/>
    <cellStyle name="一般 3 5" xfId="24" xr:uid="{00000000-0005-0000-0000-000073060000}"/>
    <cellStyle name="一般 3 5 2" xfId="150" xr:uid="{00000000-0005-0000-0000-000074060000}"/>
    <cellStyle name="一般 3 5 2 2" xfId="411" xr:uid="{00000000-0005-0000-0000-000075060000}"/>
    <cellStyle name="一般 3 5 2 2 2" xfId="1461" xr:uid="{00000000-0005-0000-0000-000076060000}"/>
    <cellStyle name="一般 3 5 2 2 3" xfId="936" xr:uid="{00000000-0005-0000-0000-000077060000}"/>
    <cellStyle name="一般 3 5 2 2 4" xfId="1986" xr:uid="{00000000-0005-0000-0000-000078060000}"/>
    <cellStyle name="一般 3 5 2 2 5" xfId="2511" xr:uid="{00000000-0005-0000-0000-000079060000}"/>
    <cellStyle name="一般 3 5 2 3" xfId="1200" xr:uid="{00000000-0005-0000-0000-00007A060000}"/>
    <cellStyle name="一般 3 5 2 4" xfId="675" xr:uid="{00000000-0005-0000-0000-00007B060000}"/>
    <cellStyle name="一般 3 5 2 5" xfId="1725" xr:uid="{00000000-0005-0000-0000-00007C060000}"/>
    <cellStyle name="一般 3 5 2 6" xfId="2250" xr:uid="{00000000-0005-0000-0000-00007D060000}"/>
    <cellStyle name="一般 3 5 3" xfId="285" xr:uid="{00000000-0005-0000-0000-00007E060000}"/>
    <cellStyle name="一般 3 5 3 2" xfId="1335" xr:uid="{00000000-0005-0000-0000-00007F060000}"/>
    <cellStyle name="一般 3 5 3 3" xfId="810" xr:uid="{00000000-0005-0000-0000-000080060000}"/>
    <cellStyle name="一般 3 5 3 4" xfId="1860" xr:uid="{00000000-0005-0000-0000-000081060000}"/>
    <cellStyle name="一般 3 5 3 5" xfId="2385" xr:uid="{00000000-0005-0000-0000-000082060000}"/>
    <cellStyle name="一般 3 5 4" xfId="1074" xr:uid="{00000000-0005-0000-0000-000083060000}"/>
    <cellStyle name="一般 3 5 5" xfId="549" xr:uid="{00000000-0005-0000-0000-000084060000}"/>
    <cellStyle name="一般 3 5 6" xfId="1599" xr:uid="{00000000-0005-0000-0000-000085060000}"/>
    <cellStyle name="一般 3 5 7" xfId="2124" xr:uid="{00000000-0005-0000-0000-000086060000}"/>
    <cellStyle name="一般 3 6" xfId="48" xr:uid="{00000000-0005-0000-0000-000087060000}"/>
    <cellStyle name="一般 3 6 2" xfId="174" xr:uid="{00000000-0005-0000-0000-000088060000}"/>
    <cellStyle name="一般 3 6 2 2" xfId="435" xr:uid="{00000000-0005-0000-0000-000089060000}"/>
    <cellStyle name="一般 3 6 2 2 2" xfId="1485" xr:uid="{00000000-0005-0000-0000-00008A060000}"/>
    <cellStyle name="一般 3 6 2 2 3" xfId="960" xr:uid="{00000000-0005-0000-0000-00008B060000}"/>
    <cellStyle name="一般 3 6 2 2 4" xfId="2010" xr:uid="{00000000-0005-0000-0000-00008C060000}"/>
    <cellStyle name="一般 3 6 2 2 5" xfId="2535" xr:uid="{00000000-0005-0000-0000-00008D060000}"/>
    <cellStyle name="一般 3 6 2 3" xfId="1224" xr:uid="{00000000-0005-0000-0000-00008E060000}"/>
    <cellStyle name="一般 3 6 2 4" xfId="699" xr:uid="{00000000-0005-0000-0000-00008F060000}"/>
    <cellStyle name="一般 3 6 2 5" xfId="1749" xr:uid="{00000000-0005-0000-0000-000090060000}"/>
    <cellStyle name="一般 3 6 2 6" xfId="2274" xr:uid="{00000000-0005-0000-0000-000091060000}"/>
    <cellStyle name="一般 3 6 3" xfId="309" xr:uid="{00000000-0005-0000-0000-000092060000}"/>
    <cellStyle name="一般 3 6 3 2" xfId="1359" xr:uid="{00000000-0005-0000-0000-000093060000}"/>
    <cellStyle name="一般 3 6 3 3" xfId="834" xr:uid="{00000000-0005-0000-0000-000094060000}"/>
    <cellStyle name="一般 3 6 3 4" xfId="1884" xr:uid="{00000000-0005-0000-0000-000095060000}"/>
    <cellStyle name="一般 3 6 3 5" xfId="2409" xr:uid="{00000000-0005-0000-0000-000096060000}"/>
    <cellStyle name="一般 3 6 4" xfId="1098" xr:uid="{00000000-0005-0000-0000-000097060000}"/>
    <cellStyle name="一般 3 6 5" xfId="573" xr:uid="{00000000-0005-0000-0000-000098060000}"/>
    <cellStyle name="一般 3 6 6" xfId="1623" xr:uid="{00000000-0005-0000-0000-000099060000}"/>
    <cellStyle name="一般 3 6 7" xfId="2148" xr:uid="{00000000-0005-0000-0000-00009A060000}"/>
    <cellStyle name="一般 3 7" xfId="52" xr:uid="{00000000-0005-0000-0000-00009B060000}"/>
    <cellStyle name="一般 3 7 2" xfId="178" xr:uid="{00000000-0005-0000-0000-00009C060000}"/>
    <cellStyle name="一般 3 7 2 2" xfId="439" xr:uid="{00000000-0005-0000-0000-00009D060000}"/>
    <cellStyle name="一般 3 7 2 2 2" xfId="1489" xr:uid="{00000000-0005-0000-0000-00009E060000}"/>
    <cellStyle name="一般 3 7 2 2 3" xfId="964" xr:uid="{00000000-0005-0000-0000-00009F060000}"/>
    <cellStyle name="一般 3 7 2 2 4" xfId="2014" xr:uid="{00000000-0005-0000-0000-0000A0060000}"/>
    <cellStyle name="一般 3 7 2 2 5" xfId="2539" xr:uid="{00000000-0005-0000-0000-0000A1060000}"/>
    <cellStyle name="一般 3 7 2 3" xfId="1228" xr:uid="{00000000-0005-0000-0000-0000A2060000}"/>
    <cellStyle name="一般 3 7 2 4" xfId="703" xr:uid="{00000000-0005-0000-0000-0000A3060000}"/>
    <cellStyle name="一般 3 7 2 5" xfId="1753" xr:uid="{00000000-0005-0000-0000-0000A4060000}"/>
    <cellStyle name="一般 3 7 2 6" xfId="2278" xr:uid="{00000000-0005-0000-0000-0000A5060000}"/>
    <cellStyle name="一般 3 7 3" xfId="313" xr:uid="{00000000-0005-0000-0000-0000A6060000}"/>
    <cellStyle name="一般 3 7 3 2" xfId="1363" xr:uid="{00000000-0005-0000-0000-0000A7060000}"/>
    <cellStyle name="一般 3 7 3 3" xfId="838" xr:uid="{00000000-0005-0000-0000-0000A8060000}"/>
    <cellStyle name="一般 3 7 3 4" xfId="1888" xr:uid="{00000000-0005-0000-0000-0000A9060000}"/>
    <cellStyle name="一般 3 7 3 5" xfId="2413" xr:uid="{00000000-0005-0000-0000-0000AA060000}"/>
    <cellStyle name="一般 3 7 4" xfId="1102" xr:uid="{00000000-0005-0000-0000-0000AB060000}"/>
    <cellStyle name="一般 3 7 5" xfId="577" xr:uid="{00000000-0005-0000-0000-0000AC060000}"/>
    <cellStyle name="一般 3 7 6" xfId="1627" xr:uid="{00000000-0005-0000-0000-0000AD060000}"/>
    <cellStyle name="一般 3 7 7" xfId="2152" xr:uid="{00000000-0005-0000-0000-0000AE060000}"/>
    <cellStyle name="一般 3 8" xfId="61" xr:uid="{00000000-0005-0000-0000-0000AF060000}"/>
    <cellStyle name="一般 3 8 2" xfId="187" xr:uid="{00000000-0005-0000-0000-0000B0060000}"/>
    <cellStyle name="一般 3 8 2 2" xfId="448" xr:uid="{00000000-0005-0000-0000-0000B1060000}"/>
    <cellStyle name="一般 3 8 2 2 2" xfId="1498" xr:uid="{00000000-0005-0000-0000-0000B2060000}"/>
    <cellStyle name="一般 3 8 2 2 3" xfId="973" xr:uid="{00000000-0005-0000-0000-0000B3060000}"/>
    <cellStyle name="一般 3 8 2 2 4" xfId="2023" xr:uid="{00000000-0005-0000-0000-0000B4060000}"/>
    <cellStyle name="一般 3 8 2 2 5" xfId="2548" xr:uid="{00000000-0005-0000-0000-0000B5060000}"/>
    <cellStyle name="一般 3 8 2 3" xfId="1237" xr:uid="{00000000-0005-0000-0000-0000B6060000}"/>
    <cellStyle name="一般 3 8 2 4" xfId="712" xr:uid="{00000000-0005-0000-0000-0000B7060000}"/>
    <cellStyle name="一般 3 8 2 5" xfId="1762" xr:uid="{00000000-0005-0000-0000-0000B8060000}"/>
    <cellStyle name="一般 3 8 2 6" xfId="2287" xr:uid="{00000000-0005-0000-0000-0000B9060000}"/>
    <cellStyle name="一般 3 8 3" xfId="322" xr:uid="{00000000-0005-0000-0000-0000BA060000}"/>
    <cellStyle name="一般 3 8 3 2" xfId="1372" xr:uid="{00000000-0005-0000-0000-0000BB060000}"/>
    <cellStyle name="一般 3 8 3 3" xfId="847" xr:uid="{00000000-0005-0000-0000-0000BC060000}"/>
    <cellStyle name="一般 3 8 3 4" xfId="1897" xr:uid="{00000000-0005-0000-0000-0000BD060000}"/>
    <cellStyle name="一般 3 8 3 5" xfId="2422" xr:uid="{00000000-0005-0000-0000-0000BE060000}"/>
    <cellStyle name="一般 3 8 4" xfId="1111" xr:uid="{00000000-0005-0000-0000-0000BF060000}"/>
    <cellStyle name="一般 3 8 5" xfId="586" xr:uid="{00000000-0005-0000-0000-0000C0060000}"/>
    <cellStyle name="一般 3 8 6" xfId="1636" xr:uid="{00000000-0005-0000-0000-0000C1060000}"/>
    <cellStyle name="一般 3 8 7" xfId="2161" xr:uid="{00000000-0005-0000-0000-0000C2060000}"/>
    <cellStyle name="一般 3 9" xfId="70" xr:uid="{00000000-0005-0000-0000-0000C3060000}"/>
    <cellStyle name="一般 3 9 2" xfId="196" xr:uid="{00000000-0005-0000-0000-0000C4060000}"/>
    <cellStyle name="一般 3 9 2 2" xfId="457" xr:uid="{00000000-0005-0000-0000-0000C5060000}"/>
    <cellStyle name="一般 3 9 2 2 2" xfId="1507" xr:uid="{00000000-0005-0000-0000-0000C6060000}"/>
    <cellStyle name="一般 3 9 2 2 3" xfId="982" xr:uid="{00000000-0005-0000-0000-0000C7060000}"/>
    <cellStyle name="一般 3 9 2 2 4" xfId="2032" xr:uid="{00000000-0005-0000-0000-0000C8060000}"/>
    <cellStyle name="一般 3 9 2 2 5" xfId="2557" xr:uid="{00000000-0005-0000-0000-0000C9060000}"/>
    <cellStyle name="一般 3 9 2 3" xfId="1246" xr:uid="{00000000-0005-0000-0000-0000CA060000}"/>
    <cellStyle name="一般 3 9 2 4" xfId="721" xr:uid="{00000000-0005-0000-0000-0000CB060000}"/>
    <cellStyle name="一般 3 9 2 5" xfId="1771" xr:uid="{00000000-0005-0000-0000-0000CC060000}"/>
    <cellStyle name="一般 3 9 2 6" xfId="2296" xr:uid="{00000000-0005-0000-0000-0000CD060000}"/>
    <cellStyle name="一般 3 9 3" xfId="331" xr:uid="{00000000-0005-0000-0000-0000CE060000}"/>
    <cellStyle name="一般 3 9 3 2" xfId="1381" xr:uid="{00000000-0005-0000-0000-0000CF060000}"/>
    <cellStyle name="一般 3 9 3 3" xfId="856" xr:uid="{00000000-0005-0000-0000-0000D0060000}"/>
    <cellStyle name="一般 3 9 3 4" xfId="1906" xr:uid="{00000000-0005-0000-0000-0000D1060000}"/>
    <cellStyle name="一般 3 9 3 5" xfId="2431" xr:uid="{00000000-0005-0000-0000-0000D2060000}"/>
    <cellStyle name="一般 3 9 4" xfId="1120" xr:uid="{00000000-0005-0000-0000-0000D3060000}"/>
    <cellStyle name="一般 3 9 5" xfId="595" xr:uid="{00000000-0005-0000-0000-0000D4060000}"/>
    <cellStyle name="一般 3 9 6" xfId="1645" xr:uid="{00000000-0005-0000-0000-0000D5060000}"/>
    <cellStyle name="一般 3 9 7" xfId="2170" xr:uid="{00000000-0005-0000-0000-0000D6060000}"/>
    <cellStyle name="一般 4" xfId="3" xr:uid="{00000000-0005-0000-0000-0000D7060000}"/>
    <cellStyle name="一般 4 10" xfId="80" xr:uid="{00000000-0005-0000-0000-0000D8060000}"/>
    <cellStyle name="一般 4 10 2" xfId="206" xr:uid="{00000000-0005-0000-0000-0000D9060000}"/>
    <cellStyle name="一般 4 10 2 2" xfId="467" xr:uid="{00000000-0005-0000-0000-0000DA060000}"/>
    <cellStyle name="一般 4 10 2 2 2" xfId="1517" xr:uid="{00000000-0005-0000-0000-0000DB060000}"/>
    <cellStyle name="一般 4 10 2 2 3" xfId="992" xr:uid="{00000000-0005-0000-0000-0000DC060000}"/>
    <cellStyle name="一般 4 10 2 2 4" xfId="2042" xr:uid="{00000000-0005-0000-0000-0000DD060000}"/>
    <cellStyle name="一般 4 10 2 2 5" xfId="2567" xr:uid="{00000000-0005-0000-0000-0000DE060000}"/>
    <cellStyle name="一般 4 10 2 3" xfId="1256" xr:uid="{00000000-0005-0000-0000-0000DF060000}"/>
    <cellStyle name="一般 4 10 2 4" xfId="731" xr:uid="{00000000-0005-0000-0000-0000E0060000}"/>
    <cellStyle name="一般 4 10 2 5" xfId="1781" xr:uid="{00000000-0005-0000-0000-0000E1060000}"/>
    <cellStyle name="一般 4 10 2 6" xfId="2306" xr:uid="{00000000-0005-0000-0000-0000E2060000}"/>
    <cellStyle name="一般 4 10 3" xfId="341" xr:uid="{00000000-0005-0000-0000-0000E3060000}"/>
    <cellStyle name="一般 4 10 3 2" xfId="1391" xr:uid="{00000000-0005-0000-0000-0000E4060000}"/>
    <cellStyle name="一般 4 10 3 3" xfId="866" xr:uid="{00000000-0005-0000-0000-0000E5060000}"/>
    <cellStyle name="一般 4 10 3 4" xfId="1916" xr:uid="{00000000-0005-0000-0000-0000E6060000}"/>
    <cellStyle name="一般 4 10 3 5" xfId="2441" xr:uid="{00000000-0005-0000-0000-0000E7060000}"/>
    <cellStyle name="一般 4 10 4" xfId="1130" xr:uid="{00000000-0005-0000-0000-0000E8060000}"/>
    <cellStyle name="一般 4 10 5" xfId="605" xr:uid="{00000000-0005-0000-0000-0000E9060000}"/>
    <cellStyle name="一般 4 10 6" xfId="1655" xr:uid="{00000000-0005-0000-0000-0000EA060000}"/>
    <cellStyle name="一般 4 10 7" xfId="2180" xr:uid="{00000000-0005-0000-0000-0000EB060000}"/>
    <cellStyle name="一般 4 11" xfId="89" xr:uid="{00000000-0005-0000-0000-0000EC060000}"/>
    <cellStyle name="一般 4 11 2" xfId="215" xr:uid="{00000000-0005-0000-0000-0000ED060000}"/>
    <cellStyle name="一般 4 11 2 2" xfId="476" xr:uid="{00000000-0005-0000-0000-0000EE060000}"/>
    <cellStyle name="一般 4 11 2 2 2" xfId="1526" xr:uid="{00000000-0005-0000-0000-0000EF060000}"/>
    <cellStyle name="一般 4 11 2 2 3" xfId="1001" xr:uid="{00000000-0005-0000-0000-0000F0060000}"/>
    <cellStyle name="一般 4 11 2 2 4" xfId="2051" xr:uid="{00000000-0005-0000-0000-0000F1060000}"/>
    <cellStyle name="一般 4 11 2 2 5" xfId="2576" xr:uid="{00000000-0005-0000-0000-0000F2060000}"/>
    <cellStyle name="一般 4 11 2 3" xfId="1265" xr:uid="{00000000-0005-0000-0000-0000F3060000}"/>
    <cellStyle name="一般 4 11 2 4" xfId="740" xr:uid="{00000000-0005-0000-0000-0000F4060000}"/>
    <cellStyle name="一般 4 11 2 5" xfId="1790" xr:uid="{00000000-0005-0000-0000-0000F5060000}"/>
    <cellStyle name="一般 4 11 2 6" xfId="2315" xr:uid="{00000000-0005-0000-0000-0000F6060000}"/>
    <cellStyle name="一般 4 11 3" xfId="350" xr:uid="{00000000-0005-0000-0000-0000F7060000}"/>
    <cellStyle name="一般 4 11 3 2" xfId="1400" xr:uid="{00000000-0005-0000-0000-0000F8060000}"/>
    <cellStyle name="一般 4 11 3 3" xfId="875" xr:uid="{00000000-0005-0000-0000-0000F9060000}"/>
    <cellStyle name="一般 4 11 3 4" xfId="1925" xr:uid="{00000000-0005-0000-0000-0000FA060000}"/>
    <cellStyle name="一般 4 11 3 5" xfId="2450" xr:uid="{00000000-0005-0000-0000-0000FB060000}"/>
    <cellStyle name="一般 4 11 4" xfId="1139" xr:uid="{00000000-0005-0000-0000-0000FC060000}"/>
    <cellStyle name="一般 4 11 5" xfId="614" xr:uid="{00000000-0005-0000-0000-0000FD060000}"/>
    <cellStyle name="一般 4 11 6" xfId="1664" xr:uid="{00000000-0005-0000-0000-0000FE060000}"/>
    <cellStyle name="一般 4 11 7" xfId="2189" xr:uid="{00000000-0005-0000-0000-0000FF060000}"/>
    <cellStyle name="一般 4 12" xfId="98" xr:uid="{00000000-0005-0000-0000-000000070000}"/>
    <cellStyle name="一般 4 12 2" xfId="224" xr:uid="{00000000-0005-0000-0000-000001070000}"/>
    <cellStyle name="一般 4 12 2 2" xfId="485" xr:uid="{00000000-0005-0000-0000-000002070000}"/>
    <cellStyle name="一般 4 12 2 2 2" xfId="1535" xr:uid="{00000000-0005-0000-0000-000003070000}"/>
    <cellStyle name="一般 4 12 2 2 3" xfId="1010" xr:uid="{00000000-0005-0000-0000-000004070000}"/>
    <cellStyle name="一般 4 12 2 2 4" xfId="2060" xr:uid="{00000000-0005-0000-0000-000005070000}"/>
    <cellStyle name="一般 4 12 2 2 5" xfId="2585" xr:uid="{00000000-0005-0000-0000-000006070000}"/>
    <cellStyle name="一般 4 12 2 3" xfId="1274" xr:uid="{00000000-0005-0000-0000-000007070000}"/>
    <cellStyle name="一般 4 12 2 4" xfId="749" xr:uid="{00000000-0005-0000-0000-000008070000}"/>
    <cellStyle name="一般 4 12 2 5" xfId="1799" xr:uid="{00000000-0005-0000-0000-000009070000}"/>
    <cellStyle name="一般 4 12 2 6" xfId="2324" xr:uid="{00000000-0005-0000-0000-00000A070000}"/>
    <cellStyle name="一般 4 12 3" xfId="359" xr:uid="{00000000-0005-0000-0000-00000B070000}"/>
    <cellStyle name="一般 4 12 3 2" xfId="1409" xr:uid="{00000000-0005-0000-0000-00000C070000}"/>
    <cellStyle name="一般 4 12 3 3" xfId="884" xr:uid="{00000000-0005-0000-0000-00000D070000}"/>
    <cellStyle name="一般 4 12 3 4" xfId="1934" xr:uid="{00000000-0005-0000-0000-00000E070000}"/>
    <cellStyle name="一般 4 12 3 5" xfId="2459" xr:uid="{00000000-0005-0000-0000-00000F070000}"/>
    <cellStyle name="一般 4 12 4" xfId="1148" xr:uid="{00000000-0005-0000-0000-000010070000}"/>
    <cellStyle name="一般 4 12 5" xfId="623" xr:uid="{00000000-0005-0000-0000-000011070000}"/>
    <cellStyle name="一般 4 12 6" xfId="1673" xr:uid="{00000000-0005-0000-0000-000012070000}"/>
    <cellStyle name="一般 4 12 7" xfId="2198" xr:uid="{00000000-0005-0000-0000-000013070000}"/>
    <cellStyle name="一般 4 13" xfId="107" xr:uid="{00000000-0005-0000-0000-000014070000}"/>
    <cellStyle name="一般 4 13 2" xfId="233" xr:uid="{00000000-0005-0000-0000-000015070000}"/>
    <cellStyle name="一般 4 13 2 2" xfId="494" xr:uid="{00000000-0005-0000-0000-000016070000}"/>
    <cellStyle name="一般 4 13 2 2 2" xfId="1544" xr:uid="{00000000-0005-0000-0000-000017070000}"/>
    <cellStyle name="一般 4 13 2 2 3" xfId="1019" xr:uid="{00000000-0005-0000-0000-000018070000}"/>
    <cellStyle name="一般 4 13 2 2 4" xfId="2069" xr:uid="{00000000-0005-0000-0000-000019070000}"/>
    <cellStyle name="一般 4 13 2 2 5" xfId="2594" xr:uid="{00000000-0005-0000-0000-00001A070000}"/>
    <cellStyle name="一般 4 13 2 3" xfId="1283" xr:uid="{00000000-0005-0000-0000-00001B070000}"/>
    <cellStyle name="一般 4 13 2 4" xfId="758" xr:uid="{00000000-0005-0000-0000-00001C070000}"/>
    <cellStyle name="一般 4 13 2 5" xfId="1808" xr:uid="{00000000-0005-0000-0000-00001D070000}"/>
    <cellStyle name="一般 4 13 2 6" xfId="2333" xr:uid="{00000000-0005-0000-0000-00001E070000}"/>
    <cellStyle name="一般 4 13 3" xfId="368" xr:uid="{00000000-0005-0000-0000-00001F070000}"/>
    <cellStyle name="一般 4 13 3 2" xfId="1418" xr:uid="{00000000-0005-0000-0000-000020070000}"/>
    <cellStyle name="一般 4 13 3 3" xfId="893" xr:uid="{00000000-0005-0000-0000-000021070000}"/>
    <cellStyle name="一般 4 13 3 4" xfId="1943" xr:uid="{00000000-0005-0000-0000-000022070000}"/>
    <cellStyle name="一般 4 13 3 5" xfId="2468" xr:uid="{00000000-0005-0000-0000-000023070000}"/>
    <cellStyle name="一般 4 13 4" xfId="1157" xr:uid="{00000000-0005-0000-0000-000024070000}"/>
    <cellStyle name="一般 4 13 5" xfId="632" xr:uid="{00000000-0005-0000-0000-000025070000}"/>
    <cellStyle name="一般 4 13 6" xfId="1682" xr:uid="{00000000-0005-0000-0000-000026070000}"/>
    <cellStyle name="一般 4 13 7" xfId="2207" xr:uid="{00000000-0005-0000-0000-000027070000}"/>
    <cellStyle name="一般 4 14" xfId="116" xr:uid="{00000000-0005-0000-0000-000028070000}"/>
    <cellStyle name="一般 4 14 2" xfId="242" xr:uid="{00000000-0005-0000-0000-000029070000}"/>
    <cellStyle name="一般 4 14 2 2" xfId="503" xr:uid="{00000000-0005-0000-0000-00002A070000}"/>
    <cellStyle name="一般 4 14 2 2 2" xfId="1553" xr:uid="{00000000-0005-0000-0000-00002B070000}"/>
    <cellStyle name="一般 4 14 2 2 3" xfId="1028" xr:uid="{00000000-0005-0000-0000-00002C070000}"/>
    <cellStyle name="一般 4 14 2 2 4" xfId="2078" xr:uid="{00000000-0005-0000-0000-00002D070000}"/>
    <cellStyle name="一般 4 14 2 2 5" xfId="2603" xr:uid="{00000000-0005-0000-0000-00002E070000}"/>
    <cellStyle name="一般 4 14 2 3" xfId="1292" xr:uid="{00000000-0005-0000-0000-00002F070000}"/>
    <cellStyle name="一般 4 14 2 4" xfId="767" xr:uid="{00000000-0005-0000-0000-000030070000}"/>
    <cellStyle name="一般 4 14 2 5" xfId="1817" xr:uid="{00000000-0005-0000-0000-000031070000}"/>
    <cellStyle name="一般 4 14 2 6" xfId="2342" xr:uid="{00000000-0005-0000-0000-000032070000}"/>
    <cellStyle name="一般 4 14 3" xfId="377" xr:uid="{00000000-0005-0000-0000-000033070000}"/>
    <cellStyle name="一般 4 14 3 2" xfId="1427" xr:uid="{00000000-0005-0000-0000-000034070000}"/>
    <cellStyle name="一般 4 14 3 3" xfId="902" xr:uid="{00000000-0005-0000-0000-000035070000}"/>
    <cellStyle name="一般 4 14 3 4" xfId="1952" xr:uid="{00000000-0005-0000-0000-000036070000}"/>
    <cellStyle name="一般 4 14 3 5" xfId="2477" xr:uid="{00000000-0005-0000-0000-000037070000}"/>
    <cellStyle name="一般 4 14 4" xfId="1166" xr:uid="{00000000-0005-0000-0000-000038070000}"/>
    <cellStyle name="一般 4 14 5" xfId="641" xr:uid="{00000000-0005-0000-0000-000039070000}"/>
    <cellStyle name="一般 4 14 6" xfId="1691" xr:uid="{00000000-0005-0000-0000-00003A070000}"/>
    <cellStyle name="一般 4 14 7" xfId="2216" xr:uid="{00000000-0005-0000-0000-00003B070000}"/>
    <cellStyle name="一般 4 15" xfId="125" xr:uid="{00000000-0005-0000-0000-00003C070000}"/>
    <cellStyle name="一般 4 15 2" xfId="251" xr:uid="{00000000-0005-0000-0000-00003D070000}"/>
    <cellStyle name="一般 4 15 2 2" xfId="512" xr:uid="{00000000-0005-0000-0000-00003E070000}"/>
    <cellStyle name="一般 4 15 2 2 2" xfId="1562" xr:uid="{00000000-0005-0000-0000-00003F070000}"/>
    <cellStyle name="一般 4 15 2 2 3" xfId="1037" xr:uid="{00000000-0005-0000-0000-000040070000}"/>
    <cellStyle name="一般 4 15 2 2 4" xfId="2087" xr:uid="{00000000-0005-0000-0000-000041070000}"/>
    <cellStyle name="一般 4 15 2 2 5" xfId="2612" xr:uid="{00000000-0005-0000-0000-000042070000}"/>
    <cellStyle name="一般 4 15 2 3" xfId="1301" xr:uid="{00000000-0005-0000-0000-000043070000}"/>
    <cellStyle name="一般 4 15 2 4" xfId="776" xr:uid="{00000000-0005-0000-0000-000044070000}"/>
    <cellStyle name="一般 4 15 2 5" xfId="1826" xr:uid="{00000000-0005-0000-0000-000045070000}"/>
    <cellStyle name="一般 4 15 2 6" xfId="2351" xr:uid="{00000000-0005-0000-0000-000046070000}"/>
    <cellStyle name="一般 4 15 3" xfId="386" xr:uid="{00000000-0005-0000-0000-000047070000}"/>
    <cellStyle name="一般 4 15 3 2" xfId="1436" xr:uid="{00000000-0005-0000-0000-000048070000}"/>
    <cellStyle name="一般 4 15 3 3" xfId="911" xr:uid="{00000000-0005-0000-0000-000049070000}"/>
    <cellStyle name="一般 4 15 3 4" xfId="1961" xr:uid="{00000000-0005-0000-0000-00004A070000}"/>
    <cellStyle name="一般 4 15 3 5" xfId="2486" xr:uid="{00000000-0005-0000-0000-00004B070000}"/>
    <cellStyle name="一般 4 15 4" xfId="1175" xr:uid="{00000000-0005-0000-0000-00004C070000}"/>
    <cellStyle name="一般 4 15 5" xfId="650" xr:uid="{00000000-0005-0000-0000-00004D070000}"/>
    <cellStyle name="一般 4 15 6" xfId="1700" xr:uid="{00000000-0005-0000-0000-00004E070000}"/>
    <cellStyle name="一般 4 15 7" xfId="2225" xr:uid="{00000000-0005-0000-0000-00004F070000}"/>
    <cellStyle name="一般 4 16" xfId="134" xr:uid="{00000000-0005-0000-0000-000050070000}"/>
    <cellStyle name="一般 4 16 2" xfId="260" xr:uid="{00000000-0005-0000-0000-000051070000}"/>
    <cellStyle name="一般 4 16 2 2" xfId="521" xr:uid="{00000000-0005-0000-0000-000052070000}"/>
    <cellStyle name="一般 4 16 2 2 2" xfId="1571" xr:uid="{00000000-0005-0000-0000-000053070000}"/>
    <cellStyle name="一般 4 16 2 2 3" xfId="1046" xr:uid="{00000000-0005-0000-0000-000054070000}"/>
    <cellStyle name="一般 4 16 2 2 4" xfId="2096" xr:uid="{00000000-0005-0000-0000-000055070000}"/>
    <cellStyle name="一般 4 16 2 2 5" xfId="2621" xr:uid="{00000000-0005-0000-0000-000056070000}"/>
    <cellStyle name="一般 4 16 2 3" xfId="1310" xr:uid="{00000000-0005-0000-0000-000057070000}"/>
    <cellStyle name="一般 4 16 2 4" xfId="785" xr:uid="{00000000-0005-0000-0000-000058070000}"/>
    <cellStyle name="一般 4 16 2 5" xfId="1835" xr:uid="{00000000-0005-0000-0000-000059070000}"/>
    <cellStyle name="一般 4 16 2 6" xfId="2360" xr:uid="{00000000-0005-0000-0000-00005A070000}"/>
    <cellStyle name="一般 4 16 3" xfId="395" xr:uid="{00000000-0005-0000-0000-00005B070000}"/>
    <cellStyle name="一般 4 16 3 2" xfId="1445" xr:uid="{00000000-0005-0000-0000-00005C070000}"/>
    <cellStyle name="一般 4 16 3 3" xfId="920" xr:uid="{00000000-0005-0000-0000-00005D070000}"/>
    <cellStyle name="一般 4 16 3 4" xfId="1970" xr:uid="{00000000-0005-0000-0000-00005E070000}"/>
    <cellStyle name="一般 4 16 3 5" xfId="2495" xr:uid="{00000000-0005-0000-0000-00005F070000}"/>
    <cellStyle name="一般 4 16 4" xfId="1184" xr:uid="{00000000-0005-0000-0000-000060070000}"/>
    <cellStyle name="一般 4 16 5" xfId="659" xr:uid="{00000000-0005-0000-0000-000061070000}"/>
    <cellStyle name="一般 4 16 6" xfId="1709" xr:uid="{00000000-0005-0000-0000-000062070000}"/>
    <cellStyle name="一般 4 16 7" xfId="2234" xr:uid="{00000000-0005-0000-0000-000063070000}"/>
    <cellStyle name="一般 4 17" xfId="17" xr:uid="{00000000-0005-0000-0000-000064070000}"/>
    <cellStyle name="一般 4 17 2" xfId="278" xr:uid="{00000000-0005-0000-0000-000065070000}"/>
    <cellStyle name="一般 4 17 2 2" xfId="1328" xr:uid="{00000000-0005-0000-0000-000066070000}"/>
    <cellStyle name="一般 4 17 2 3" xfId="803" xr:uid="{00000000-0005-0000-0000-000067070000}"/>
    <cellStyle name="一般 4 17 2 4" xfId="1853" xr:uid="{00000000-0005-0000-0000-000068070000}"/>
    <cellStyle name="一般 4 17 2 5" xfId="2378" xr:uid="{00000000-0005-0000-0000-000069070000}"/>
    <cellStyle name="一般 4 17 3" xfId="1067" xr:uid="{00000000-0005-0000-0000-00006A070000}"/>
    <cellStyle name="一般 4 17 4" xfId="542" xr:uid="{00000000-0005-0000-0000-00006B070000}"/>
    <cellStyle name="一般 4 17 5" xfId="1592" xr:uid="{00000000-0005-0000-0000-00006C070000}"/>
    <cellStyle name="一般 4 17 6" xfId="2117" xr:uid="{00000000-0005-0000-0000-00006D070000}"/>
    <cellStyle name="一般 4 18" xfId="143" xr:uid="{00000000-0005-0000-0000-00006E070000}"/>
    <cellStyle name="一般 4 18 2" xfId="404" xr:uid="{00000000-0005-0000-0000-00006F070000}"/>
    <cellStyle name="一般 4 18 2 2" xfId="1454" xr:uid="{00000000-0005-0000-0000-000070070000}"/>
    <cellStyle name="一般 4 18 2 3" xfId="929" xr:uid="{00000000-0005-0000-0000-000071070000}"/>
    <cellStyle name="一般 4 18 2 4" xfId="1979" xr:uid="{00000000-0005-0000-0000-000072070000}"/>
    <cellStyle name="一般 4 18 2 5" xfId="2504" xr:uid="{00000000-0005-0000-0000-000073070000}"/>
    <cellStyle name="一般 4 18 3" xfId="1193" xr:uid="{00000000-0005-0000-0000-000074070000}"/>
    <cellStyle name="一般 4 18 4" xfId="668" xr:uid="{00000000-0005-0000-0000-000075070000}"/>
    <cellStyle name="一般 4 18 5" xfId="1718" xr:uid="{00000000-0005-0000-0000-000076070000}"/>
    <cellStyle name="一般 4 18 6" xfId="2243" xr:uid="{00000000-0005-0000-0000-000077070000}"/>
    <cellStyle name="一般 4 19" xfId="269" xr:uid="{00000000-0005-0000-0000-000078070000}"/>
    <cellStyle name="一般 4 19 2" xfId="1319" xr:uid="{00000000-0005-0000-0000-000079070000}"/>
    <cellStyle name="一般 4 19 3" xfId="794" xr:uid="{00000000-0005-0000-0000-00007A070000}"/>
    <cellStyle name="一般 4 19 4" xfId="1844" xr:uid="{00000000-0005-0000-0000-00007B070000}"/>
    <cellStyle name="一般 4 19 5" xfId="2369" xr:uid="{00000000-0005-0000-0000-00007C070000}"/>
    <cellStyle name="一般 4 2" xfId="11" xr:uid="{00000000-0005-0000-0000-00007D070000}"/>
    <cellStyle name="一般 4 2 10" xfId="101" xr:uid="{00000000-0005-0000-0000-00007E070000}"/>
    <cellStyle name="一般 4 2 10 2" xfId="227" xr:uid="{00000000-0005-0000-0000-00007F070000}"/>
    <cellStyle name="一般 4 2 10 2 2" xfId="488" xr:uid="{00000000-0005-0000-0000-000080070000}"/>
    <cellStyle name="一般 4 2 10 2 2 2" xfId="1538" xr:uid="{00000000-0005-0000-0000-000081070000}"/>
    <cellStyle name="一般 4 2 10 2 2 3" xfId="1013" xr:uid="{00000000-0005-0000-0000-000082070000}"/>
    <cellStyle name="一般 4 2 10 2 2 4" xfId="2063" xr:uid="{00000000-0005-0000-0000-000083070000}"/>
    <cellStyle name="一般 4 2 10 2 2 5" xfId="2588" xr:uid="{00000000-0005-0000-0000-000084070000}"/>
    <cellStyle name="一般 4 2 10 2 3" xfId="1277" xr:uid="{00000000-0005-0000-0000-000085070000}"/>
    <cellStyle name="一般 4 2 10 2 4" xfId="752" xr:uid="{00000000-0005-0000-0000-000086070000}"/>
    <cellStyle name="一般 4 2 10 2 5" xfId="1802" xr:uid="{00000000-0005-0000-0000-000087070000}"/>
    <cellStyle name="一般 4 2 10 2 6" xfId="2327" xr:uid="{00000000-0005-0000-0000-000088070000}"/>
    <cellStyle name="一般 4 2 10 3" xfId="362" xr:uid="{00000000-0005-0000-0000-000089070000}"/>
    <cellStyle name="一般 4 2 10 3 2" xfId="1412" xr:uid="{00000000-0005-0000-0000-00008A070000}"/>
    <cellStyle name="一般 4 2 10 3 3" xfId="887" xr:uid="{00000000-0005-0000-0000-00008B070000}"/>
    <cellStyle name="一般 4 2 10 3 4" xfId="1937" xr:uid="{00000000-0005-0000-0000-00008C070000}"/>
    <cellStyle name="一般 4 2 10 3 5" xfId="2462" xr:uid="{00000000-0005-0000-0000-00008D070000}"/>
    <cellStyle name="一般 4 2 10 4" xfId="1151" xr:uid="{00000000-0005-0000-0000-00008E070000}"/>
    <cellStyle name="一般 4 2 10 5" xfId="626" xr:uid="{00000000-0005-0000-0000-00008F070000}"/>
    <cellStyle name="一般 4 2 10 6" xfId="1676" xr:uid="{00000000-0005-0000-0000-000090070000}"/>
    <cellStyle name="一般 4 2 10 7" xfId="2201" xr:uid="{00000000-0005-0000-0000-000091070000}"/>
    <cellStyle name="一般 4 2 11" xfId="110" xr:uid="{00000000-0005-0000-0000-000092070000}"/>
    <cellStyle name="一般 4 2 11 2" xfId="236" xr:uid="{00000000-0005-0000-0000-000093070000}"/>
    <cellStyle name="一般 4 2 11 2 2" xfId="497" xr:uid="{00000000-0005-0000-0000-000094070000}"/>
    <cellStyle name="一般 4 2 11 2 2 2" xfId="1547" xr:uid="{00000000-0005-0000-0000-000095070000}"/>
    <cellStyle name="一般 4 2 11 2 2 3" xfId="1022" xr:uid="{00000000-0005-0000-0000-000096070000}"/>
    <cellStyle name="一般 4 2 11 2 2 4" xfId="2072" xr:uid="{00000000-0005-0000-0000-000097070000}"/>
    <cellStyle name="一般 4 2 11 2 2 5" xfId="2597" xr:uid="{00000000-0005-0000-0000-000098070000}"/>
    <cellStyle name="一般 4 2 11 2 3" xfId="1286" xr:uid="{00000000-0005-0000-0000-000099070000}"/>
    <cellStyle name="一般 4 2 11 2 4" xfId="761" xr:uid="{00000000-0005-0000-0000-00009A070000}"/>
    <cellStyle name="一般 4 2 11 2 5" xfId="1811" xr:uid="{00000000-0005-0000-0000-00009B070000}"/>
    <cellStyle name="一般 4 2 11 2 6" xfId="2336" xr:uid="{00000000-0005-0000-0000-00009C070000}"/>
    <cellStyle name="一般 4 2 11 3" xfId="371" xr:uid="{00000000-0005-0000-0000-00009D070000}"/>
    <cellStyle name="一般 4 2 11 3 2" xfId="1421" xr:uid="{00000000-0005-0000-0000-00009E070000}"/>
    <cellStyle name="一般 4 2 11 3 3" xfId="896" xr:uid="{00000000-0005-0000-0000-00009F070000}"/>
    <cellStyle name="一般 4 2 11 3 4" xfId="1946" xr:uid="{00000000-0005-0000-0000-0000A0070000}"/>
    <cellStyle name="一般 4 2 11 3 5" xfId="2471" xr:uid="{00000000-0005-0000-0000-0000A1070000}"/>
    <cellStyle name="一般 4 2 11 4" xfId="1160" xr:uid="{00000000-0005-0000-0000-0000A2070000}"/>
    <cellStyle name="一般 4 2 11 5" xfId="635" xr:uid="{00000000-0005-0000-0000-0000A3070000}"/>
    <cellStyle name="一般 4 2 11 6" xfId="1685" xr:uid="{00000000-0005-0000-0000-0000A4070000}"/>
    <cellStyle name="一般 4 2 11 7" xfId="2210" xr:uid="{00000000-0005-0000-0000-0000A5070000}"/>
    <cellStyle name="一般 4 2 12" xfId="119" xr:uid="{00000000-0005-0000-0000-0000A6070000}"/>
    <cellStyle name="一般 4 2 12 2" xfId="245" xr:uid="{00000000-0005-0000-0000-0000A7070000}"/>
    <cellStyle name="一般 4 2 12 2 2" xfId="506" xr:uid="{00000000-0005-0000-0000-0000A8070000}"/>
    <cellStyle name="一般 4 2 12 2 2 2" xfId="1556" xr:uid="{00000000-0005-0000-0000-0000A9070000}"/>
    <cellStyle name="一般 4 2 12 2 2 3" xfId="1031" xr:uid="{00000000-0005-0000-0000-0000AA070000}"/>
    <cellStyle name="一般 4 2 12 2 2 4" xfId="2081" xr:uid="{00000000-0005-0000-0000-0000AB070000}"/>
    <cellStyle name="一般 4 2 12 2 2 5" xfId="2606" xr:uid="{00000000-0005-0000-0000-0000AC070000}"/>
    <cellStyle name="一般 4 2 12 2 3" xfId="1295" xr:uid="{00000000-0005-0000-0000-0000AD070000}"/>
    <cellStyle name="一般 4 2 12 2 4" xfId="770" xr:uid="{00000000-0005-0000-0000-0000AE070000}"/>
    <cellStyle name="一般 4 2 12 2 5" xfId="1820" xr:uid="{00000000-0005-0000-0000-0000AF070000}"/>
    <cellStyle name="一般 4 2 12 2 6" xfId="2345" xr:uid="{00000000-0005-0000-0000-0000B0070000}"/>
    <cellStyle name="一般 4 2 12 3" xfId="380" xr:uid="{00000000-0005-0000-0000-0000B1070000}"/>
    <cellStyle name="一般 4 2 12 3 2" xfId="1430" xr:uid="{00000000-0005-0000-0000-0000B2070000}"/>
    <cellStyle name="一般 4 2 12 3 3" xfId="905" xr:uid="{00000000-0005-0000-0000-0000B3070000}"/>
    <cellStyle name="一般 4 2 12 3 4" xfId="1955" xr:uid="{00000000-0005-0000-0000-0000B4070000}"/>
    <cellStyle name="一般 4 2 12 3 5" xfId="2480" xr:uid="{00000000-0005-0000-0000-0000B5070000}"/>
    <cellStyle name="一般 4 2 12 4" xfId="1169" xr:uid="{00000000-0005-0000-0000-0000B6070000}"/>
    <cellStyle name="一般 4 2 12 5" xfId="644" xr:uid="{00000000-0005-0000-0000-0000B7070000}"/>
    <cellStyle name="一般 4 2 12 6" xfId="1694" xr:uid="{00000000-0005-0000-0000-0000B8070000}"/>
    <cellStyle name="一般 4 2 12 7" xfId="2219" xr:uid="{00000000-0005-0000-0000-0000B9070000}"/>
    <cellStyle name="一般 4 2 13" xfId="128" xr:uid="{00000000-0005-0000-0000-0000BA070000}"/>
    <cellStyle name="一般 4 2 13 2" xfId="254" xr:uid="{00000000-0005-0000-0000-0000BB070000}"/>
    <cellStyle name="一般 4 2 13 2 2" xfId="515" xr:uid="{00000000-0005-0000-0000-0000BC070000}"/>
    <cellStyle name="一般 4 2 13 2 2 2" xfId="1565" xr:uid="{00000000-0005-0000-0000-0000BD070000}"/>
    <cellStyle name="一般 4 2 13 2 2 3" xfId="1040" xr:uid="{00000000-0005-0000-0000-0000BE070000}"/>
    <cellStyle name="一般 4 2 13 2 2 4" xfId="2090" xr:uid="{00000000-0005-0000-0000-0000BF070000}"/>
    <cellStyle name="一般 4 2 13 2 2 5" xfId="2615" xr:uid="{00000000-0005-0000-0000-0000C0070000}"/>
    <cellStyle name="一般 4 2 13 2 3" xfId="1304" xr:uid="{00000000-0005-0000-0000-0000C1070000}"/>
    <cellStyle name="一般 4 2 13 2 4" xfId="779" xr:uid="{00000000-0005-0000-0000-0000C2070000}"/>
    <cellStyle name="一般 4 2 13 2 5" xfId="1829" xr:uid="{00000000-0005-0000-0000-0000C3070000}"/>
    <cellStyle name="一般 4 2 13 2 6" xfId="2354" xr:uid="{00000000-0005-0000-0000-0000C4070000}"/>
    <cellStyle name="一般 4 2 13 3" xfId="389" xr:uid="{00000000-0005-0000-0000-0000C5070000}"/>
    <cellStyle name="一般 4 2 13 3 2" xfId="1439" xr:uid="{00000000-0005-0000-0000-0000C6070000}"/>
    <cellStyle name="一般 4 2 13 3 3" xfId="914" xr:uid="{00000000-0005-0000-0000-0000C7070000}"/>
    <cellStyle name="一般 4 2 13 3 4" xfId="1964" xr:uid="{00000000-0005-0000-0000-0000C8070000}"/>
    <cellStyle name="一般 4 2 13 3 5" xfId="2489" xr:uid="{00000000-0005-0000-0000-0000C9070000}"/>
    <cellStyle name="一般 4 2 13 4" xfId="1178" xr:uid="{00000000-0005-0000-0000-0000CA070000}"/>
    <cellStyle name="一般 4 2 13 5" xfId="653" xr:uid="{00000000-0005-0000-0000-0000CB070000}"/>
    <cellStyle name="一般 4 2 13 6" xfId="1703" xr:uid="{00000000-0005-0000-0000-0000CC070000}"/>
    <cellStyle name="一般 4 2 13 7" xfId="2228" xr:uid="{00000000-0005-0000-0000-0000CD070000}"/>
    <cellStyle name="一般 4 2 14" xfId="137" xr:uid="{00000000-0005-0000-0000-0000CE070000}"/>
    <cellStyle name="一般 4 2 14 2" xfId="263" xr:uid="{00000000-0005-0000-0000-0000CF070000}"/>
    <cellStyle name="一般 4 2 14 2 2" xfId="524" xr:uid="{00000000-0005-0000-0000-0000D0070000}"/>
    <cellStyle name="一般 4 2 14 2 2 2" xfId="1574" xr:uid="{00000000-0005-0000-0000-0000D1070000}"/>
    <cellStyle name="一般 4 2 14 2 2 3" xfId="1049" xr:uid="{00000000-0005-0000-0000-0000D2070000}"/>
    <cellStyle name="一般 4 2 14 2 2 4" xfId="2099" xr:uid="{00000000-0005-0000-0000-0000D3070000}"/>
    <cellStyle name="一般 4 2 14 2 2 5" xfId="2624" xr:uid="{00000000-0005-0000-0000-0000D4070000}"/>
    <cellStyle name="一般 4 2 14 2 3" xfId="1313" xr:uid="{00000000-0005-0000-0000-0000D5070000}"/>
    <cellStyle name="一般 4 2 14 2 4" xfId="788" xr:uid="{00000000-0005-0000-0000-0000D6070000}"/>
    <cellStyle name="一般 4 2 14 2 5" xfId="1838" xr:uid="{00000000-0005-0000-0000-0000D7070000}"/>
    <cellStyle name="一般 4 2 14 2 6" xfId="2363" xr:uid="{00000000-0005-0000-0000-0000D8070000}"/>
    <cellStyle name="一般 4 2 14 3" xfId="398" xr:uid="{00000000-0005-0000-0000-0000D9070000}"/>
    <cellStyle name="一般 4 2 14 3 2" xfId="1448" xr:uid="{00000000-0005-0000-0000-0000DA070000}"/>
    <cellStyle name="一般 4 2 14 3 3" xfId="923" xr:uid="{00000000-0005-0000-0000-0000DB070000}"/>
    <cellStyle name="一般 4 2 14 3 4" xfId="1973" xr:uid="{00000000-0005-0000-0000-0000DC070000}"/>
    <cellStyle name="一般 4 2 14 3 5" xfId="2498" xr:uid="{00000000-0005-0000-0000-0000DD070000}"/>
    <cellStyle name="一般 4 2 14 4" xfId="1187" xr:uid="{00000000-0005-0000-0000-0000DE070000}"/>
    <cellStyle name="一般 4 2 14 5" xfId="662" xr:uid="{00000000-0005-0000-0000-0000DF070000}"/>
    <cellStyle name="一般 4 2 14 6" xfId="1712" xr:uid="{00000000-0005-0000-0000-0000E0070000}"/>
    <cellStyle name="一般 4 2 14 7" xfId="2237" xr:uid="{00000000-0005-0000-0000-0000E1070000}"/>
    <cellStyle name="一般 4 2 15" xfId="20" xr:uid="{00000000-0005-0000-0000-0000E2070000}"/>
    <cellStyle name="一般 4 2 15 2" xfId="281" xr:uid="{00000000-0005-0000-0000-0000E3070000}"/>
    <cellStyle name="一般 4 2 15 2 2" xfId="1331" xr:uid="{00000000-0005-0000-0000-0000E4070000}"/>
    <cellStyle name="一般 4 2 15 2 3" xfId="806" xr:uid="{00000000-0005-0000-0000-0000E5070000}"/>
    <cellStyle name="一般 4 2 15 2 4" xfId="1856" xr:uid="{00000000-0005-0000-0000-0000E6070000}"/>
    <cellStyle name="一般 4 2 15 2 5" xfId="2381" xr:uid="{00000000-0005-0000-0000-0000E7070000}"/>
    <cellStyle name="一般 4 2 15 3" xfId="1070" xr:uid="{00000000-0005-0000-0000-0000E8070000}"/>
    <cellStyle name="一般 4 2 15 4" xfId="545" xr:uid="{00000000-0005-0000-0000-0000E9070000}"/>
    <cellStyle name="一般 4 2 15 5" xfId="1595" xr:uid="{00000000-0005-0000-0000-0000EA070000}"/>
    <cellStyle name="一般 4 2 15 6" xfId="2120" xr:uid="{00000000-0005-0000-0000-0000EB070000}"/>
    <cellStyle name="一般 4 2 16" xfId="146" xr:uid="{00000000-0005-0000-0000-0000EC070000}"/>
    <cellStyle name="一般 4 2 16 2" xfId="407" xr:uid="{00000000-0005-0000-0000-0000ED070000}"/>
    <cellStyle name="一般 4 2 16 2 2" xfId="1457" xr:uid="{00000000-0005-0000-0000-0000EE070000}"/>
    <cellStyle name="一般 4 2 16 2 3" xfId="932" xr:uid="{00000000-0005-0000-0000-0000EF070000}"/>
    <cellStyle name="一般 4 2 16 2 4" xfId="1982" xr:uid="{00000000-0005-0000-0000-0000F0070000}"/>
    <cellStyle name="一般 4 2 16 2 5" xfId="2507" xr:uid="{00000000-0005-0000-0000-0000F1070000}"/>
    <cellStyle name="一般 4 2 16 3" xfId="1196" xr:uid="{00000000-0005-0000-0000-0000F2070000}"/>
    <cellStyle name="一般 4 2 16 4" xfId="671" xr:uid="{00000000-0005-0000-0000-0000F3070000}"/>
    <cellStyle name="一般 4 2 16 5" xfId="1721" xr:uid="{00000000-0005-0000-0000-0000F4070000}"/>
    <cellStyle name="一般 4 2 16 6" xfId="2246" xr:uid="{00000000-0005-0000-0000-0000F5070000}"/>
    <cellStyle name="一般 4 2 17" xfId="272" xr:uid="{00000000-0005-0000-0000-0000F6070000}"/>
    <cellStyle name="一般 4 2 17 2" xfId="1322" xr:uid="{00000000-0005-0000-0000-0000F7070000}"/>
    <cellStyle name="一般 4 2 17 3" xfId="797" xr:uid="{00000000-0005-0000-0000-0000F8070000}"/>
    <cellStyle name="一般 4 2 17 4" xfId="1847" xr:uid="{00000000-0005-0000-0000-0000F9070000}"/>
    <cellStyle name="一般 4 2 17 5" xfId="2372" xr:uid="{00000000-0005-0000-0000-0000FA070000}"/>
    <cellStyle name="一般 4 2 18" xfId="1061" xr:uid="{00000000-0005-0000-0000-0000FB070000}"/>
    <cellStyle name="一般 4 2 19" xfId="536" xr:uid="{00000000-0005-0000-0000-0000FC070000}"/>
    <cellStyle name="一般 4 2 2" xfId="30" xr:uid="{00000000-0005-0000-0000-0000FD070000}"/>
    <cellStyle name="一般 4 2 2 2" xfId="156" xr:uid="{00000000-0005-0000-0000-0000FE070000}"/>
    <cellStyle name="一般 4 2 2 2 2" xfId="417" xr:uid="{00000000-0005-0000-0000-0000FF070000}"/>
    <cellStyle name="一般 4 2 2 2 2 2" xfId="1467" xr:uid="{00000000-0005-0000-0000-000000080000}"/>
    <cellStyle name="一般 4 2 2 2 2 3" xfId="942" xr:uid="{00000000-0005-0000-0000-000001080000}"/>
    <cellStyle name="一般 4 2 2 2 2 4" xfId="1992" xr:uid="{00000000-0005-0000-0000-000002080000}"/>
    <cellStyle name="一般 4 2 2 2 2 5" xfId="2517" xr:uid="{00000000-0005-0000-0000-000003080000}"/>
    <cellStyle name="一般 4 2 2 2 3" xfId="1206" xr:uid="{00000000-0005-0000-0000-000004080000}"/>
    <cellStyle name="一般 4 2 2 2 4" xfId="681" xr:uid="{00000000-0005-0000-0000-000005080000}"/>
    <cellStyle name="一般 4 2 2 2 5" xfId="1731" xr:uid="{00000000-0005-0000-0000-000006080000}"/>
    <cellStyle name="一般 4 2 2 2 6" xfId="2256" xr:uid="{00000000-0005-0000-0000-000007080000}"/>
    <cellStyle name="一般 4 2 2 3" xfId="291" xr:uid="{00000000-0005-0000-0000-000008080000}"/>
    <cellStyle name="一般 4 2 2 3 2" xfId="1341" xr:uid="{00000000-0005-0000-0000-000009080000}"/>
    <cellStyle name="一般 4 2 2 3 3" xfId="816" xr:uid="{00000000-0005-0000-0000-00000A080000}"/>
    <cellStyle name="一般 4 2 2 3 4" xfId="1866" xr:uid="{00000000-0005-0000-0000-00000B080000}"/>
    <cellStyle name="一般 4 2 2 3 5" xfId="2391" xr:uid="{00000000-0005-0000-0000-00000C080000}"/>
    <cellStyle name="一般 4 2 2 4" xfId="1080" xr:uid="{00000000-0005-0000-0000-00000D080000}"/>
    <cellStyle name="一般 4 2 2 5" xfId="555" xr:uid="{00000000-0005-0000-0000-00000E080000}"/>
    <cellStyle name="一般 4 2 2 6" xfId="1605" xr:uid="{00000000-0005-0000-0000-00000F080000}"/>
    <cellStyle name="一般 4 2 2 7" xfId="2130" xr:uid="{00000000-0005-0000-0000-000010080000}"/>
    <cellStyle name="一般 4 2 20" xfId="1586" xr:uid="{00000000-0005-0000-0000-000011080000}"/>
    <cellStyle name="一般 4 2 21" xfId="2111" xr:uid="{00000000-0005-0000-0000-000012080000}"/>
    <cellStyle name="一般 4 2 3" xfId="39" xr:uid="{00000000-0005-0000-0000-000013080000}"/>
    <cellStyle name="一般 4 2 3 2" xfId="165" xr:uid="{00000000-0005-0000-0000-000014080000}"/>
    <cellStyle name="一般 4 2 3 2 2" xfId="426" xr:uid="{00000000-0005-0000-0000-000015080000}"/>
    <cellStyle name="一般 4 2 3 2 2 2" xfId="1476" xr:uid="{00000000-0005-0000-0000-000016080000}"/>
    <cellStyle name="一般 4 2 3 2 2 3" xfId="951" xr:uid="{00000000-0005-0000-0000-000017080000}"/>
    <cellStyle name="一般 4 2 3 2 2 4" xfId="2001" xr:uid="{00000000-0005-0000-0000-000018080000}"/>
    <cellStyle name="一般 4 2 3 2 2 5" xfId="2526" xr:uid="{00000000-0005-0000-0000-000019080000}"/>
    <cellStyle name="一般 4 2 3 2 3" xfId="1215" xr:uid="{00000000-0005-0000-0000-00001A080000}"/>
    <cellStyle name="一般 4 2 3 2 4" xfId="690" xr:uid="{00000000-0005-0000-0000-00001B080000}"/>
    <cellStyle name="一般 4 2 3 2 5" xfId="1740" xr:uid="{00000000-0005-0000-0000-00001C080000}"/>
    <cellStyle name="一般 4 2 3 2 6" xfId="2265" xr:uid="{00000000-0005-0000-0000-00001D080000}"/>
    <cellStyle name="一般 4 2 3 3" xfId="300" xr:uid="{00000000-0005-0000-0000-00001E080000}"/>
    <cellStyle name="一般 4 2 3 3 2" xfId="1350" xr:uid="{00000000-0005-0000-0000-00001F080000}"/>
    <cellStyle name="一般 4 2 3 3 3" xfId="825" xr:uid="{00000000-0005-0000-0000-000020080000}"/>
    <cellStyle name="一般 4 2 3 3 4" xfId="1875" xr:uid="{00000000-0005-0000-0000-000021080000}"/>
    <cellStyle name="一般 4 2 3 3 5" xfId="2400" xr:uid="{00000000-0005-0000-0000-000022080000}"/>
    <cellStyle name="一般 4 2 3 4" xfId="1089" xr:uid="{00000000-0005-0000-0000-000023080000}"/>
    <cellStyle name="一般 4 2 3 5" xfId="564" xr:uid="{00000000-0005-0000-0000-000024080000}"/>
    <cellStyle name="一般 4 2 3 6" xfId="1614" xr:uid="{00000000-0005-0000-0000-000025080000}"/>
    <cellStyle name="一般 4 2 3 7" xfId="2139" xr:uid="{00000000-0005-0000-0000-000026080000}"/>
    <cellStyle name="一般 4 2 4" xfId="45" xr:uid="{00000000-0005-0000-0000-000027080000}"/>
    <cellStyle name="一般 4 2 4 2" xfId="171" xr:uid="{00000000-0005-0000-0000-000028080000}"/>
    <cellStyle name="一般 4 2 4 2 2" xfId="432" xr:uid="{00000000-0005-0000-0000-000029080000}"/>
    <cellStyle name="一般 4 2 4 2 2 2" xfId="1482" xr:uid="{00000000-0005-0000-0000-00002A080000}"/>
    <cellStyle name="一般 4 2 4 2 2 3" xfId="957" xr:uid="{00000000-0005-0000-0000-00002B080000}"/>
    <cellStyle name="一般 4 2 4 2 2 4" xfId="2007" xr:uid="{00000000-0005-0000-0000-00002C080000}"/>
    <cellStyle name="一般 4 2 4 2 2 5" xfId="2532" xr:uid="{00000000-0005-0000-0000-00002D080000}"/>
    <cellStyle name="一般 4 2 4 2 3" xfId="1221" xr:uid="{00000000-0005-0000-0000-00002E080000}"/>
    <cellStyle name="一般 4 2 4 2 4" xfId="696" xr:uid="{00000000-0005-0000-0000-00002F080000}"/>
    <cellStyle name="一般 4 2 4 2 5" xfId="1746" xr:uid="{00000000-0005-0000-0000-000030080000}"/>
    <cellStyle name="一般 4 2 4 2 6" xfId="2271" xr:uid="{00000000-0005-0000-0000-000031080000}"/>
    <cellStyle name="一般 4 2 4 3" xfId="306" xr:uid="{00000000-0005-0000-0000-000032080000}"/>
    <cellStyle name="一般 4 2 4 3 2" xfId="1356" xr:uid="{00000000-0005-0000-0000-000033080000}"/>
    <cellStyle name="一般 4 2 4 3 3" xfId="831" xr:uid="{00000000-0005-0000-0000-000034080000}"/>
    <cellStyle name="一般 4 2 4 3 4" xfId="1881" xr:uid="{00000000-0005-0000-0000-000035080000}"/>
    <cellStyle name="一般 4 2 4 3 5" xfId="2406" xr:uid="{00000000-0005-0000-0000-000036080000}"/>
    <cellStyle name="一般 4 2 4 4" xfId="1095" xr:uid="{00000000-0005-0000-0000-000037080000}"/>
    <cellStyle name="一般 4 2 4 5" xfId="570" xr:uid="{00000000-0005-0000-0000-000038080000}"/>
    <cellStyle name="一般 4 2 4 6" xfId="1620" xr:uid="{00000000-0005-0000-0000-000039080000}"/>
    <cellStyle name="一般 4 2 4 7" xfId="2145" xr:uid="{00000000-0005-0000-0000-00003A080000}"/>
    <cellStyle name="一般 4 2 5" xfId="56" xr:uid="{00000000-0005-0000-0000-00003B080000}"/>
    <cellStyle name="一般 4 2 5 2" xfId="182" xr:uid="{00000000-0005-0000-0000-00003C080000}"/>
    <cellStyle name="一般 4 2 5 2 2" xfId="443" xr:uid="{00000000-0005-0000-0000-00003D080000}"/>
    <cellStyle name="一般 4 2 5 2 2 2" xfId="1493" xr:uid="{00000000-0005-0000-0000-00003E080000}"/>
    <cellStyle name="一般 4 2 5 2 2 3" xfId="968" xr:uid="{00000000-0005-0000-0000-00003F080000}"/>
    <cellStyle name="一般 4 2 5 2 2 4" xfId="2018" xr:uid="{00000000-0005-0000-0000-000040080000}"/>
    <cellStyle name="一般 4 2 5 2 2 5" xfId="2543" xr:uid="{00000000-0005-0000-0000-000041080000}"/>
    <cellStyle name="一般 4 2 5 2 3" xfId="1232" xr:uid="{00000000-0005-0000-0000-000042080000}"/>
    <cellStyle name="一般 4 2 5 2 4" xfId="707" xr:uid="{00000000-0005-0000-0000-000043080000}"/>
    <cellStyle name="一般 4 2 5 2 5" xfId="1757" xr:uid="{00000000-0005-0000-0000-000044080000}"/>
    <cellStyle name="一般 4 2 5 2 6" xfId="2282" xr:uid="{00000000-0005-0000-0000-000045080000}"/>
    <cellStyle name="一般 4 2 5 3" xfId="317" xr:uid="{00000000-0005-0000-0000-000046080000}"/>
    <cellStyle name="一般 4 2 5 3 2" xfId="1367" xr:uid="{00000000-0005-0000-0000-000047080000}"/>
    <cellStyle name="一般 4 2 5 3 3" xfId="842" xr:uid="{00000000-0005-0000-0000-000048080000}"/>
    <cellStyle name="一般 4 2 5 3 4" xfId="1892" xr:uid="{00000000-0005-0000-0000-000049080000}"/>
    <cellStyle name="一般 4 2 5 3 5" xfId="2417" xr:uid="{00000000-0005-0000-0000-00004A080000}"/>
    <cellStyle name="一般 4 2 5 4" xfId="1106" xr:uid="{00000000-0005-0000-0000-00004B080000}"/>
    <cellStyle name="一般 4 2 5 5" xfId="581" xr:uid="{00000000-0005-0000-0000-00004C080000}"/>
    <cellStyle name="一般 4 2 5 6" xfId="1631" xr:uid="{00000000-0005-0000-0000-00004D080000}"/>
    <cellStyle name="一般 4 2 5 7" xfId="2156" xr:uid="{00000000-0005-0000-0000-00004E080000}"/>
    <cellStyle name="一般 4 2 6" xfId="65" xr:uid="{00000000-0005-0000-0000-00004F080000}"/>
    <cellStyle name="一般 4 2 6 2" xfId="191" xr:uid="{00000000-0005-0000-0000-000050080000}"/>
    <cellStyle name="一般 4 2 6 2 2" xfId="452" xr:uid="{00000000-0005-0000-0000-000051080000}"/>
    <cellStyle name="一般 4 2 6 2 2 2" xfId="1502" xr:uid="{00000000-0005-0000-0000-000052080000}"/>
    <cellStyle name="一般 4 2 6 2 2 3" xfId="977" xr:uid="{00000000-0005-0000-0000-000053080000}"/>
    <cellStyle name="一般 4 2 6 2 2 4" xfId="2027" xr:uid="{00000000-0005-0000-0000-000054080000}"/>
    <cellStyle name="一般 4 2 6 2 2 5" xfId="2552" xr:uid="{00000000-0005-0000-0000-000055080000}"/>
    <cellStyle name="一般 4 2 6 2 3" xfId="1241" xr:uid="{00000000-0005-0000-0000-000056080000}"/>
    <cellStyle name="一般 4 2 6 2 4" xfId="716" xr:uid="{00000000-0005-0000-0000-000057080000}"/>
    <cellStyle name="一般 4 2 6 2 5" xfId="1766" xr:uid="{00000000-0005-0000-0000-000058080000}"/>
    <cellStyle name="一般 4 2 6 2 6" xfId="2291" xr:uid="{00000000-0005-0000-0000-000059080000}"/>
    <cellStyle name="一般 4 2 6 3" xfId="326" xr:uid="{00000000-0005-0000-0000-00005A080000}"/>
    <cellStyle name="一般 4 2 6 3 2" xfId="1376" xr:uid="{00000000-0005-0000-0000-00005B080000}"/>
    <cellStyle name="一般 4 2 6 3 3" xfId="851" xr:uid="{00000000-0005-0000-0000-00005C080000}"/>
    <cellStyle name="一般 4 2 6 3 4" xfId="1901" xr:uid="{00000000-0005-0000-0000-00005D080000}"/>
    <cellStyle name="一般 4 2 6 3 5" xfId="2426" xr:uid="{00000000-0005-0000-0000-00005E080000}"/>
    <cellStyle name="一般 4 2 6 4" xfId="1115" xr:uid="{00000000-0005-0000-0000-00005F080000}"/>
    <cellStyle name="一般 4 2 6 5" xfId="590" xr:uid="{00000000-0005-0000-0000-000060080000}"/>
    <cellStyle name="一般 4 2 6 6" xfId="1640" xr:uid="{00000000-0005-0000-0000-000061080000}"/>
    <cellStyle name="一般 4 2 6 7" xfId="2165" xr:uid="{00000000-0005-0000-0000-000062080000}"/>
    <cellStyle name="一般 4 2 7" xfId="74" xr:uid="{00000000-0005-0000-0000-000063080000}"/>
    <cellStyle name="一般 4 2 7 2" xfId="200" xr:uid="{00000000-0005-0000-0000-000064080000}"/>
    <cellStyle name="一般 4 2 7 2 2" xfId="461" xr:uid="{00000000-0005-0000-0000-000065080000}"/>
    <cellStyle name="一般 4 2 7 2 2 2" xfId="1511" xr:uid="{00000000-0005-0000-0000-000066080000}"/>
    <cellStyle name="一般 4 2 7 2 2 3" xfId="986" xr:uid="{00000000-0005-0000-0000-000067080000}"/>
    <cellStyle name="一般 4 2 7 2 2 4" xfId="2036" xr:uid="{00000000-0005-0000-0000-000068080000}"/>
    <cellStyle name="一般 4 2 7 2 2 5" xfId="2561" xr:uid="{00000000-0005-0000-0000-000069080000}"/>
    <cellStyle name="一般 4 2 7 2 3" xfId="1250" xr:uid="{00000000-0005-0000-0000-00006A080000}"/>
    <cellStyle name="一般 4 2 7 2 4" xfId="725" xr:uid="{00000000-0005-0000-0000-00006B080000}"/>
    <cellStyle name="一般 4 2 7 2 5" xfId="1775" xr:uid="{00000000-0005-0000-0000-00006C080000}"/>
    <cellStyle name="一般 4 2 7 2 6" xfId="2300" xr:uid="{00000000-0005-0000-0000-00006D080000}"/>
    <cellStyle name="一般 4 2 7 3" xfId="335" xr:uid="{00000000-0005-0000-0000-00006E080000}"/>
    <cellStyle name="一般 4 2 7 3 2" xfId="1385" xr:uid="{00000000-0005-0000-0000-00006F080000}"/>
    <cellStyle name="一般 4 2 7 3 3" xfId="860" xr:uid="{00000000-0005-0000-0000-000070080000}"/>
    <cellStyle name="一般 4 2 7 3 4" xfId="1910" xr:uid="{00000000-0005-0000-0000-000071080000}"/>
    <cellStyle name="一般 4 2 7 3 5" xfId="2435" xr:uid="{00000000-0005-0000-0000-000072080000}"/>
    <cellStyle name="一般 4 2 7 4" xfId="1124" xr:uid="{00000000-0005-0000-0000-000073080000}"/>
    <cellStyle name="一般 4 2 7 5" xfId="599" xr:uid="{00000000-0005-0000-0000-000074080000}"/>
    <cellStyle name="一般 4 2 7 6" xfId="1649" xr:uid="{00000000-0005-0000-0000-000075080000}"/>
    <cellStyle name="一般 4 2 7 7" xfId="2174" xr:uid="{00000000-0005-0000-0000-000076080000}"/>
    <cellStyle name="一般 4 2 8" xfId="83" xr:uid="{00000000-0005-0000-0000-000077080000}"/>
    <cellStyle name="一般 4 2 8 2" xfId="209" xr:uid="{00000000-0005-0000-0000-000078080000}"/>
    <cellStyle name="一般 4 2 8 2 2" xfId="470" xr:uid="{00000000-0005-0000-0000-000079080000}"/>
    <cellStyle name="一般 4 2 8 2 2 2" xfId="1520" xr:uid="{00000000-0005-0000-0000-00007A080000}"/>
    <cellStyle name="一般 4 2 8 2 2 3" xfId="995" xr:uid="{00000000-0005-0000-0000-00007B080000}"/>
    <cellStyle name="一般 4 2 8 2 2 4" xfId="2045" xr:uid="{00000000-0005-0000-0000-00007C080000}"/>
    <cellStyle name="一般 4 2 8 2 2 5" xfId="2570" xr:uid="{00000000-0005-0000-0000-00007D080000}"/>
    <cellStyle name="一般 4 2 8 2 3" xfId="1259" xr:uid="{00000000-0005-0000-0000-00007E080000}"/>
    <cellStyle name="一般 4 2 8 2 4" xfId="734" xr:uid="{00000000-0005-0000-0000-00007F080000}"/>
    <cellStyle name="一般 4 2 8 2 5" xfId="1784" xr:uid="{00000000-0005-0000-0000-000080080000}"/>
    <cellStyle name="一般 4 2 8 2 6" xfId="2309" xr:uid="{00000000-0005-0000-0000-000081080000}"/>
    <cellStyle name="一般 4 2 8 3" xfId="344" xr:uid="{00000000-0005-0000-0000-000082080000}"/>
    <cellStyle name="一般 4 2 8 3 2" xfId="1394" xr:uid="{00000000-0005-0000-0000-000083080000}"/>
    <cellStyle name="一般 4 2 8 3 3" xfId="869" xr:uid="{00000000-0005-0000-0000-000084080000}"/>
    <cellStyle name="一般 4 2 8 3 4" xfId="1919" xr:uid="{00000000-0005-0000-0000-000085080000}"/>
    <cellStyle name="一般 4 2 8 3 5" xfId="2444" xr:uid="{00000000-0005-0000-0000-000086080000}"/>
    <cellStyle name="一般 4 2 8 4" xfId="1133" xr:uid="{00000000-0005-0000-0000-000087080000}"/>
    <cellStyle name="一般 4 2 8 5" xfId="608" xr:uid="{00000000-0005-0000-0000-000088080000}"/>
    <cellStyle name="一般 4 2 8 6" xfId="1658" xr:uid="{00000000-0005-0000-0000-000089080000}"/>
    <cellStyle name="一般 4 2 8 7" xfId="2183" xr:uid="{00000000-0005-0000-0000-00008A080000}"/>
    <cellStyle name="一般 4 2 9" xfId="92" xr:uid="{00000000-0005-0000-0000-00008B080000}"/>
    <cellStyle name="一般 4 2 9 2" xfId="218" xr:uid="{00000000-0005-0000-0000-00008C080000}"/>
    <cellStyle name="一般 4 2 9 2 2" xfId="479" xr:uid="{00000000-0005-0000-0000-00008D080000}"/>
    <cellStyle name="一般 4 2 9 2 2 2" xfId="1529" xr:uid="{00000000-0005-0000-0000-00008E080000}"/>
    <cellStyle name="一般 4 2 9 2 2 3" xfId="1004" xr:uid="{00000000-0005-0000-0000-00008F080000}"/>
    <cellStyle name="一般 4 2 9 2 2 4" xfId="2054" xr:uid="{00000000-0005-0000-0000-000090080000}"/>
    <cellStyle name="一般 4 2 9 2 2 5" xfId="2579" xr:uid="{00000000-0005-0000-0000-000091080000}"/>
    <cellStyle name="一般 4 2 9 2 3" xfId="1268" xr:uid="{00000000-0005-0000-0000-000092080000}"/>
    <cellStyle name="一般 4 2 9 2 4" xfId="743" xr:uid="{00000000-0005-0000-0000-000093080000}"/>
    <cellStyle name="一般 4 2 9 2 5" xfId="1793" xr:uid="{00000000-0005-0000-0000-000094080000}"/>
    <cellStyle name="一般 4 2 9 2 6" xfId="2318" xr:uid="{00000000-0005-0000-0000-000095080000}"/>
    <cellStyle name="一般 4 2 9 3" xfId="353" xr:uid="{00000000-0005-0000-0000-000096080000}"/>
    <cellStyle name="一般 4 2 9 3 2" xfId="1403" xr:uid="{00000000-0005-0000-0000-000097080000}"/>
    <cellStyle name="一般 4 2 9 3 3" xfId="878" xr:uid="{00000000-0005-0000-0000-000098080000}"/>
    <cellStyle name="一般 4 2 9 3 4" xfId="1928" xr:uid="{00000000-0005-0000-0000-000099080000}"/>
    <cellStyle name="一般 4 2 9 3 5" xfId="2453" xr:uid="{00000000-0005-0000-0000-00009A080000}"/>
    <cellStyle name="一般 4 2 9 4" xfId="1142" xr:uid="{00000000-0005-0000-0000-00009B080000}"/>
    <cellStyle name="一般 4 2 9 5" xfId="617" xr:uid="{00000000-0005-0000-0000-00009C080000}"/>
    <cellStyle name="一般 4 2 9 6" xfId="1667" xr:uid="{00000000-0005-0000-0000-00009D080000}"/>
    <cellStyle name="一般 4 2 9 7" xfId="2192" xr:uid="{00000000-0005-0000-0000-00009E080000}"/>
    <cellStyle name="一般 4 20" xfId="8" xr:uid="{00000000-0005-0000-0000-00009F080000}"/>
    <cellStyle name="一般 4 20 2" xfId="1058" xr:uid="{00000000-0005-0000-0000-0000A0080000}"/>
    <cellStyle name="一般 4 20 3" xfId="533" xr:uid="{00000000-0005-0000-0000-0000A1080000}"/>
    <cellStyle name="一般 4 20 4" xfId="1583" xr:uid="{00000000-0005-0000-0000-0000A2080000}"/>
    <cellStyle name="一般 4 20 5" xfId="2108" xr:uid="{00000000-0005-0000-0000-0000A3080000}"/>
    <cellStyle name="一般 4 21" xfId="1055" xr:uid="{00000000-0005-0000-0000-0000A4080000}"/>
    <cellStyle name="一般 4 22" xfId="530" xr:uid="{00000000-0005-0000-0000-0000A5080000}"/>
    <cellStyle name="一般 4 23" xfId="1580" xr:uid="{00000000-0005-0000-0000-0000A6080000}"/>
    <cellStyle name="一般 4 24" xfId="2105" xr:uid="{00000000-0005-0000-0000-0000A7080000}"/>
    <cellStyle name="一般 4 3" xfId="14" xr:uid="{00000000-0005-0000-0000-0000A8080000}"/>
    <cellStyle name="一般 4 3 10" xfId="104" xr:uid="{00000000-0005-0000-0000-0000A9080000}"/>
    <cellStyle name="一般 4 3 10 2" xfId="230" xr:uid="{00000000-0005-0000-0000-0000AA080000}"/>
    <cellStyle name="一般 4 3 10 2 2" xfId="491" xr:uid="{00000000-0005-0000-0000-0000AB080000}"/>
    <cellStyle name="一般 4 3 10 2 2 2" xfId="1541" xr:uid="{00000000-0005-0000-0000-0000AC080000}"/>
    <cellStyle name="一般 4 3 10 2 2 3" xfId="1016" xr:uid="{00000000-0005-0000-0000-0000AD080000}"/>
    <cellStyle name="一般 4 3 10 2 2 4" xfId="2066" xr:uid="{00000000-0005-0000-0000-0000AE080000}"/>
    <cellStyle name="一般 4 3 10 2 2 5" xfId="2591" xr:uid="{00000000-0005-0000-0000-0000AF080000}"/>
    <cellStyle name="一般 4 3 10 2 3" xfId="1280" xr:uid="{00000000-0005-0000-0000-0000B0080000}"/>
    <cellStyle name="一般 4 3 10 2 4" xfId="755" xr:uid="{00000000-0005-0000-0000-0000B1080000}"/>
    <cellStyle name="一般 4 3 10 2 5" xfId="1805" xr:uid="{00000000-0005-0000-0000-0000B2080000}"/>
    <cellStyle name="一般 4 3 10 2 6" xfId="2330" xr:uid="{00000000-0005-0000-0000-0000B3080000}"/>
    <cellStyle name="一般 4 3 10 3" xfId="365" xr:uid="{00000000-0005-0000-0000-0000B4080000}"/>
    <cellStyle name="一般 4 3 10 3 2" xfId="1415" xr:uid="{00000000-0005-0000-0000-0000B5080000}"/>
    <cellStyle name="一般 4 3 10 3 3" xfId="890" xr:uid="{00000000-0005-0000-0000-0000B6080000}"/>
    <cellStyle name="一般 4 3 10 3 4" xfId="1940" xr:uid="{00000000-0005-0000-0000-0000B7080000}"/>
    <cellStyle name="一般 4 3 10 3 5" xfId="2465" xr:uid="{00000000-0005-0000-0000-0000B8080000}"/>
    <cellStyle name="一般 4 3 10 4" xfId="1154" xr:uid="{00000000-0005-0000-0000-0000B9080000}"/>
    <cellStyle name="一般 4 3 10 5" xfId="629" xr:uid="{00000000-0005-0000-0000-0000BA080000}"/>
    <cellStyle name="一般 4 3 10 6" xfId="1679" xr:uid="{00000000-0005-0000-0000-0000BB080000}"/>
    <cellStyle name="一般 4 3 10 7" xfId="2204" xr:uid="{00000000-0005-0000-0000-0000BC080000}"/>
    <cellStyle name="一般 4 3 11" xfId="113" xr:uid="{00000000-0005-0000-0000-0000BD080000}"/>
    <cellStyle name="一般 4 3 11 2" xfId="239" xr:uid="{00000000-0005-0000-0000-0000BE080000}"/>
    <cellStyle name="一般 4 3 11 2 2" xfId="500" xr:uid="{00000000-0005-0000-0000-0000BF080000}"/>
    <cellStyle name="一般 4 3 11 2 2 2" xfId="1550" xr:uid="{00000000-0005-0000-0000-0000C0080000}"/>
    <cellStyle name="一般 4 3 11 2 2 3" xfId="1025" xr:uid="{00000000-0005-0000-0000-0000C1080000}"/>
    <cellStyle name="一般 4 3 11 2 2 4" xfId="2075" xr:uid="{00000000-0005-0000-0000-0000C2080000}"/>
    <cellStyle name="一般 4 3 11 2 2 5" xfId="2600" xr:uid="{00000000-0005-0000-0000-0000C3080000}"/>
    <cellStyle name="一般 4 3 11 2 3" xfId="1289" xr:uid="{00000000-0005-0000-0000-0000C4080000}"/>
    <cellStyle name="一般 4 3 11 2 4" xfId="764" xr:uid="{00000000-0005-0000-0000-0000C5080000}"/>
    <cellStyle name="一般 4 3 11 2 5" xfId="1814" xr:uid="{00000000-0005-0000-0000-0000C6080000}"/>
    <cellStyle name="一般 4 3 11 2 6" xfId="2339" xr:uid="{00000000-0005-0000-0000-0000C7080000}"/>
    <cellStyle name="一般 4 3 11 3" xfId="374" xr:uid="{00000000-0005-0000-0000-0000C8080000}"/>
    <cellStyle name="一般 4 3 11 3 2" xfId="1424" xr:uid="{00000000-0005-0000-0000-0000C9080000}"/>
    <cellStyle name="一般 4 3 11 3 3" xfId="899" xr:uid="{00000000-0005-0000-0000-0000CA080000}"/>
    <cellStyle name="一般 4 3 11 3 4" xfId="1949" xr:uid="{00000000-0005-0000-0000-0000CB080000}"/>
    <cellStyle name="一般 4 3 11 3 5" xfId="2474" xr:uid="{00000000-0005-0000-0000-0000CC080000}"/>
    <cellStyle name="一般 4 3 11 4" xfId="1163" xr:uid="{00000000-0005-0000-0000-0000CD080000}"/>
    <cellStyle name="一般 4 3 11 5" xfId="638" xr:uid="{00000000-0005-0000-0000-0000CE080000}"/>
    <cellStyle name="一般 4 3 11 6" xfId="1688" xr:uid="{00000000-0005-0000-0000-0000CF080000}"/>
    <cellStyle name="一般 4 3 11 7" xfId="2213" xr:uid="{00000000-0005-0000-0000-0000D0080000}"/>
    <cellStyle name="一般 4 3 12" xfId="122" xr:uid="{00000000-0005-0000-0000-0000D1080000}"/>
    <cellStyle name="一般 4 3 12 2" xfId="248" xr:uid="{00000000-0005-0000-0000-0000D2080000}"/>
    <cellStyle name="一般 4 3 12 2 2" xfId="509" xr:uid="{00000000-0005-0000-0000-0000D3080000}"/>
    <cellStyle name="一般 4 3 12 2 2 2" xfId="1559" xr:uid="{00000000-0005-0000-0000-0000D4080000}"/>
    <cellStyle name="一般 4 3 12 2 2 3" xfId="1034" xr:uid="{00000000-0005-0000-0000-0000D5080000}"/>
    <cellStyle name="一般 4 3 12 2 2 4" xfId="2084" xr:uid="{00000000-0005-0000-0000-0000D6080000}"/>
    <cellStyle name="一般 4 3 12 2 2 5" xfId="2609" xr:uid="{00000000-0005-0000-0000-0000D7080000}"/>
    <cellStyle name="一般 4 3 12 2 3" xfId="1298" xr:uid="{00000000-0005-0000-0000-0000D8080000}"/>
    <cellStyle name="一般 4 3 12 2 4" xfId="773" xr:uid="{00000000-0005-0000-0000-0000D9080000}"/>
    <cellStyle name="一般 4 3 12 2 5" xfId="1823" xr:uid="{00000000-0005-0000-0000-0000DA080000}"/>
    <cellStyle name="一般 4 3 12 2 6" xfId="2348" xr:uid="{00000000-0005-0000-0000-0000DB080000}"/>
    <cellStyle name="一般 4 3 12 3" xfId="383" xr:uid="{00000000-0005-0000-0000-0000DC080000}"/>
    <cellStyle name="一般 4 3 12 3 2" xfId="1433" xr:uid="{00000000-0005-0000-0000-0000DD080000}"/>
    <cellStyle name="一般 4 3 12 3 3" xfId="908" xr:uid="{00000000-0005-0000-0000-0000DE080000}"/>
    <cellStyle name="一般 4 3 12 3 4" xfId="1958" xr:uid="{00000000-0005-0000-0000-0000DF080000}"/>
    <cellStyle name="一般 4 3 12 3 5" xfId="2483" xr:uid="{00000000-0005-0000-0000-0000E0080000}"/>
    <cellStyle name="一般 4 3 12 4" xfId="1172" xr:uid="{00000000-0005-0000-0000-0000E1080000}"/>
    <cellStyle name="一般 4 3 12 5" xfId="647" xr:uid="{00000000-0005-0000-0000-0000E2080000}"/>
    <cellStyle name="一般 4 3 12 6" xfId="1697" xr:uid="{00000000-0005-0000-0000-0000E3080000}"/>
    <cellStyle name="一般 4 3 12 7" xfId="2222" xr:uid="{00000000-0005-0000-0000-0000E4080000}"/>
    <cellStyle name="一般 4 3 13" xfId="131" xr:uid="{00000000-0005-0000-0000-0000E5080000}"/>
    <cellStyle name="一般 4 3 13 2" xfId="257" xr:uid="{00000000-0005-0000-0000-0000E6080000}"/>
    <cellStyle name="一般 4 3 13 2 2" xfId="518" xr:uid="{00000000-0005-0000-0000-0000E7080000}"/>
    <cellStyle name="一般 4 3 13 2 2 2" xfId="1568" xr:uid="{00000000-0005-0000-0000-0000E8080000}"/>
    <cellStyle name="一般 4 3 13 2 2 3" xfId="1043" xr:uid="{00000000-0005-0000-0000-0000E9080000}"/>
    <cellStyle name="一般 4 3 13 2 2 4" xfId="2093" xr:uid="{00000000-0005-0000-0000-0000EA080000}"/>
    <cellStyle name="一般 4 3 13 2 2 5" xfId="2618" xr:uid="{00000000-0005-0000-0000-0000EB080000}"/>
    <cellStyle name="一般 4 3 13 2 3" xfId="1307" xr:uid="{00000000-0005-0000-0000-0000EC080000}"/>
    <cellStyle name="一般 4 3 13 2 4" xfId="782" xr:uid="{00000000-0005-0000-0000-0000ED080000}"/>
    <cellStyle name="一般 4 3 13 2 5" xfId="1832" xr:uid="{00000000-0005-0000-0000-0000EE080000}"/>
    <cellStyle name="一般 4 3 13 2 6" xfId="2357" xr:uid="{00000000-0005-0000-0000-0000EF080000}"/>
    <cellStyle name="一般 4 3 13 3" xfId="392" xr:uid="{00000000-0005-0000-0000-0000F0080000}"/>
    <cellStyle name="一般 4 3 13 3 2" xfId="1442" xr:uid="{00000000-0005-0000-0000-0000F1080000}"/>
    <cellStyle name="一般 4 3 13 3 3" xfId="917" xr:uid="{00000000-0005-0000-0000-0000F2080000}"/>
    <cellStyle name="一般 4 3 13 3 4" xfId="1967" xr:uid="{00000000-0005-0000-0000-0000F3080000}"/>
    <cellStyle name="一般 4 3 13 3 5" xfId="2492" xr:uid="{00000000-0005-0000-0000-0000F4080000}"/>
    <cellStyle name="一般 4 3 13 4" xfId="1181" xr:uid="{00000000-0005-0000-0000-0000F5080000}"/>
    <cellStyle name="一般 4 3 13 5" xfId="656" xr:uid="{00000000-0005-0000-0000-0000F6080000}"/>
    <cellStyle name="一般 4 3 13 6" xfId="1706" xr:uid="{00000000-0005-0000-0000-0000F7080000}"/>
    <cellStyle name="一般 4 3 13 7" xfId="2231" xr:uid="{00000000-0005-0000-0000-0000F8080000}"/>
    <cellStyle name="一般 4 3 14" xfId="140" xr:uid="{00000000-0005-0000-0000-0000F9080000}"/>
    <cellStyle name="一般 4 3 14 2" xfId="266" xr:uid="{00000000-0005-0000-0000-0000FA080000}"/>
    <cellStyle name="一般 4 3 14 2 2" xfId="527" xr:uid="{00000000-0005-0000-0000-0000FB080000}"/>
    <cellStyle name="一般 4 3 14 2 2 2" xfId="1577" xr:uid="{00000000-0005-0000-0000-0000FC080000}"/>
    <cellStyle name="一般 4 3 14 2 2 3" xfId="1052" xr:uid="{00000000-0005-0000-0000-0000FD080000}"/>
    <cellStyle name="一般 4 3 14 2 2 4" xfId="2102" xr:uid="{00000000-0005-0000-0000-0000FE080000}"/>
    <cellStyle name="一般 4 3 14 2 2 5" xfId="2627" xr:uid="{00000000-0005-0000-0000-0000FF080000}"/>
    <cellStyle name="一般 4 3 14 2 3" xfId="1316" xr:uid="{00000000-0005-0000-0000-000000090000}"/>
    <cellStyle name="一般 4 3 14 2 4" xfId="791" xr:uid="{00000000-0005-0000-0000-000001090000}"/>
    <cellStyle name="一般 4 3 14 2 5" xfId="1841" xr:uid="{00000000-0005-0000-0000-000002090000}"/>
    <cellStyle name="一般 4 3 14 2 6" xfId="2366" xr:uid="{00000000-0005-0000-0000-000003090000}"/>
    <cellStyle name="一般 4 3 14 3" xfId="401" xr:uid="{00000000-0005-0000-0000-000004090000}"/>
    <cellStyle name="一般 4 3 14 3 2" xfId="1451" xr:uid="{00000000-0005-0000-0000-000005090000}"/>
    <cellStyle name="一般 4 3 14 3 3" xfId="926" xr:uid="{00000000-0005-0000-0000-000006090000}"/>
    <cellStyle name="一般 4 3 14 3 4" xfId="1976" xr:uid="{00000000-0005-0000-0000-000007090000}"/>
    <cellStyle name="一般 4 3 14 3 5" xfId="2501" xr:uid="{00000000-0005-0000-0000-000008090000}"/>
    <cellStyle name="一般 4 3 14 4" xfId="1190" xr:uid="{00000000-0005-0000-0000-000009090000}"/>
    <cellStyle name="一般 4 3 14 5" xfId="665" xr:uid="{00000000-0005-0000-0000-00000A090000}"/>
    <cellStyle name="一般 4 3 14 6" xfId="1715" xr:uid="{00000000-0005-0000-0000-00000B090000}"/>
    <cellStyle name="一般 4 3 14 7" xfId="2240" xr:uid="{00000000-0005-0000-0000-00000C090000}"/>
    <cellStyle name="一般 4 3 15" xfId="23" xr:uid="{00000000-0005-0000-0000-00000D090000}"/>
    <cellStyle name="一般 4 3 15 2" xfId="284" xr:uid="{00000000-0005-0000-0000-00000E090000}"/>
    <cellStyle name="一般 4 3 15 2 2" xfId="1334" xr:uid="{00000000-0005-0000-0000-00000F090000}"/>
    <cellStyle name="一般 4 3 15 2 3" xfId="809" xr:uid="{00000000-0005-0000-0000-000010090000}"/>
    <cellStyle name="一般 4 3 15 2 4" xfId="1859" xr:uid="{00000000-0005-0000-0000-000011090000}"/>
    <cellStyle name="一般 4 3 15 2 5" xfId="2384" xr:uid="{00000000-0005-0000-0000-000012090000}"/>
    <cellStyle name="一般 4 3 15 3" xfId="1073" xr:uid="{00000000-0005-0000-0000-000013090000}"/>
    <cellStyle name="一般 4 3 15 4" xfId="548" xr:uid="{00000000-0005-0000-0000-000014090000}"/>
    <cellStyle name="一般 4 3 15 5" xfId="1598" xr:uid="{00000000-0005-0000-0000-000015090000}"/>
    <cellStyle name="一般 4 3 15 6" xfId="2123" xr:uid="{00000000-0005-0000-0000-000016090000}"/>
    <cellStyle name="一般 4 3 16" xfId="149" xr:uid="{00000000-0005-0000-0000-000017090000}"/>
    <cellStyle name="一般 4 3 16 2" xfId="410" xr:uid="{00000000-0005-0000-0000-000018090000}"/>
    <cellStyle name="一般 4 3 16 2 2" xfId="1460" xr:uid="{00000000-0005-0000-0000-000019090000}"/>
    <cellStyle name="一般 4 3 16 2 3" xfId="935" xr:uid="{00000000-0005-0000-0000-00001A090000}"/>
    <cellStyle name="一般 4 3 16 2 4" xfId="1985" xr:uid="{00000000-0005-0000-0000-00001B090000}"/>
    <cellStyle name="一般 4 3 16 2 5" xfId="2510" xr:uid="{00000000-0005-0000-0000-00001C090000}"/>
    <cellStyle name="一般 4 3 16 3" xfId="1199" xr:uid="{00000000-0005-0000-0000-00001D090000}"/>
    <cellStyle name="一般 4 3 16 4" xfId="674" xr:uid="{00000000-0005-0000-0000-00001E090000}"/>
    <cellStyle name="一般 4 3 16 5" xfId="1724" xr:uid="{00000000-0005-0000-0000-00001F090000}"/>
    <cellStyle name="一般 4 3 16 6" xfId="2249" xr:uid="{00000000-0005-0000-0000-000020090000}"/>
    <cellStyle name="一般 4 3 17" xfId="275" xr:uid="{00000000-0005-0000-0000-000021090000}"/>
    <cellStyle name="一般 4 3 17 2" xfId="1325" xr:uid="{00000000-0005-0000-0000-000022090000}"/>
    <cellStyle name="一般 4 3 17 3" xfId="800" xr:uid="{00000000-0005-0000-0000-000023090000}"/>
    <cellStyle name="一般 4 3 17 4" xfId="1850" xr:uid="{00000000-0005-0000-0000-000024090000}"/>
    <cellStyle name="一般 4 3 17 5" xfId="2375" xr:uid="{00000000-0005-0000-0000-000025090000}"/>
    <cellStyle name="一般 4 3 18" xfId="1064" xr:uid="{00000000-0005-0000-0000-000026090000}"/>
    <cellStyle name="一般 4 3 19" xfId="539" xr:uid="{00000000-0005-0000-0000-000027090000}"/>
    <cellStyle name="一般 4 3 2" xfId="33" xr:uid="{00000000-0005-0000-0000-000028090000}"/>
    <cellStyle name="一般 4 3 2 2" xfId="159" xr:uid="{00000000-0005-0000-0000-000029090000}"/>
    <cellStyle name="一般 4 3 2 2 2" xfId="420" xr:uid="{00000000-0005-0000-0000-00002A090000}"/>
    <cellStyle name="一般 4 3 2 2 2 2" xfId="1470" xr:uid="{00000000-0005-0000-0000-00002B090000}"/>
    <cellStyle name="一般 4 3 2 2 2 3" xfId="945" xr:uid="{00000000-0005-0000-0000-00002C090000}"/>
    <cellStyle name="一般 4 3 2 2 2 4" xfId="1995" xr:uid="{00000000-0005-0000-0000-00002D090000}"/>
    <cellStyle name="一般 4 3 2 2 2 5" xfId="2520" xr:uid="{00000000-0005-0000-0000-00002E090000}"/>
    <cellStyle name="一般 4 3 2 2 3" xfId="1209" xr:uid="{00000000-0005-0000-0000-00002F090000}"/>
    <cellStyle name="一般 4 3 2 2 4" xfId="684" xr:uid="{00000000-0005-0000-0000-000030090000}"/>
    <cellStyle name="一般 4 3 2 2 5" xfId="1734" xr:uid="{00000000-0005-0000-0000-000031090000}"/>
    <cellStyle name="一般 4 3 2 2 6" xfId="2259" xr:uid="{00000000-0005-0000-0000-000032090000}"/>
    <cellStyle name="一般 4 3 2 3" xfId="294" xr:uid="{00000000-0005-0000-0000-000033090000}"/>
    <cellStyle name="一般 4 3 2 3 2" xfId="1344" xr:uid="{00000000-0005-0000-0000-000034090000}"/>
    <cellStyle name="一般 4 3 2 3 3" xfId="819" xr:uid="{00000000-0005-0000-0000-000035090000}"/>
    <cellStyle name="一般 4 3 2 3 4" xfId="1869" xr:uid="{00000000-0005-0000-0000-000036090000}"/>
    <cellStyle name="一般 4 3 2 3 5" xfId="2394" xr:uid="{00000000-0005-0000-0000-000037090000}"/>
    <cellStyle name="一般 4 3 2 4" xfId="1083" xr:uid="{00000000-0005-0000-0000-000038090000}"/>
    <cellStyle name="一般 4 3 2 5" xfId="558" xr:uid="{00000000-0005-0000-0000-000039090000}"/>
    <cellStyle name="一般 4 3 2 6" xfId="1608" xr:uid="{00000000-0005-0000-0000-00003A090000}"/>
    <cellStyle name="一般 4 3 2 7" xfId="2133" xr:uid="{00000000-0005-0000-0000-00003B090000}"/>
    <cellStyle name="一般 4 3 20" xfId="1589" xr:uid="{00000000-0005-0000-0000-00003C090000}"/>
    <cellStyle name="一般 4 3 21" xfId="2114" xr:uid="{00000000-0005-0000-0000-00003D090000}"/>
    <cellStyle name="一般 4 3 3" xfId="42" xr:uid="{00000000-0005-0000-0000-00003E090000}"/>
    <cellStyle name="一般 4 3 3 2" xfId="168" xr:uid="{00000000-0005-0000-0000-00003F090000}"/>
    <cellStyle name="一般 4 3 3 2 2" xfId="429" xr:uid="{00000000-0005-0000-0000-000040090000}"/>
    <cellStyle name="一般 4 3 3 2 2 2" xfId="1479" xr:uid="{00000000-0005-0000-0000-000041090000}"/>
    <cellStyle name="一般 4 3 3 2 2 3" xfId="954" xr:uid="{00000000-0005-0000-0000-000042090000}"/>
    <cellStyle name="一般 4 3 3 2 2 4" xfId="2004" xr:uid="{00000000-0005-0000-0000-000043090000}"/>
    <cellStyle name="一般 4 3 3 2 2 5" xfId="2529" xr:uid="{00000000-0005-0000-0000-000044090000}"/>
    <cellStyle name="一般 4 3 3 2 3" xfId="1218" xr:uid="{00000000-0005-0000-0000-000045090000}"/>
    <cellStyle name="一般 4 3 3 2 4" xfId="693" xr:uid="{00000000-0005-0000-0000-000046090000}"/>
    <cellStyle name="一般 4 3 3 2 5" xfId="1743" xr:uid="{00000000-0005-0000-0000-000047090000}"/>
    <cellStyle name="一般 4 3 3 2 6" xfId="2268" xr:uid="{00000000-0005-0000-0000-000048090000}"/>
    <cellStyle name="一般 4 3 3 3" xfId="303" xr:uid="{00000000-0005-0000-0000-000049090000}"/>
    <cellStyle name="一般 4 3 3 3 2" xfId="1353" xr:uid="{00000000-0005-0000-0000-00004A090000}"/>
    <cellStyle name="一般 4 3 3 3 3" xfId="828" xr:uid="{00000000-0005-0000-0000-00004B090000}"/>
    <cellStyle name="一般 4 3 3 3 4" xfId="1878" xr:uid="{00000000-0005-0000-0000-00004C090000}"/>
    <cellStyle name="一般 4 3 3 3 5" xfId="2403" xr:uid="{00000000-0005-0000-0000-00004D090000}"/>
    <cellStyle name="一般 4 3 3 4" xfId="1092" xr:uid="{00000000-0005-0000-0000-00004E090000}"/>
    <cellStyle name="一般 4 3 3 5" xfId="567" xr:uid="{00000000-0005-0000-0000-00004F090000}"/>
    <cellStyle name="一般 4 3 3 6" xfId="1617" xr:uid="{00000000-0005-0000-0000-000050090000}"/>
    <cellStyle name="一般 4 3 3 7" xfId="2142" xr:uid="{00000000-0005-0000-0000-000051090000}"/>
    <cellStyle name="一般 4 3 4" xfId="50" xr:uid="{00000000-0005-0000-0000-000052090000}"/>
    <cellStyle name="一般 4 3 4 2" xfId="176" xr:uid="{00000000-0005-0000-0000-000053090000}"/>
    <cellStyle name="一般 4 3 4 2 2" xfId="437" xr:uid="{00000000-0005-0000-0000-000054090000}"/>
    <cellStyle name="一般 4 3 4 2 2 2" xfId="1487" xr:uid="{00000000-0005-0000-0000-000055090000}"/>
    <cellStyle name="一般 4 3 4 2 2 3" xfId="962" xr:uid="{00000000-0005-0000-0000-000056090000}"/>
    <cellStyle name="一般 4 3 4 2 2 4" xfId="2012" xr:uid="{00000000-0005-0000-0000-000057090000}"/>
    <cellStyle name="一般 4 3 4 2 2 5" xfId="2537" xr:uid="{00000000-0005-0000-0000-000058090000}"/>
    <cellStyle name="一般 4 3 4 2 3" xfId="1226" xr:uid="{00000000-0005-0000-0000-000059090000}"/>
    <cellStyle name="一般 4 3 4 2 4" xfId="701" xr:uid="{00000000-0005-0000-0000-00005A090000}"/>
    <cellStyle name="一般 4 3 4 2 5" xfId="1751" xr:uid="{00000000-0005-0000-0000-00005B090000}"/>
    <cellStyle name="一般 4 3 4 2 6" xfId="2276" xr:uid="{00000000-0005-0000-0000-00005C090000}"/>
    <cellStyle name="一般 4 3 4 3" xfId="311" xr:uid="{00000000-0005-0000-0000-00005D090000}"/>
    <cellStyle name="一般 4 3 4 3 2" xfId="1361" xr:uid="{00000000-0005-0000-0000-00005E090000}"/>
    <cellStyle name="一般 4 3 4 3 3" xfId="836" xr:uid="{00000000-0005-0000-0000-00005F090000}"/>
    <cellStyle name="一般 4 3 4 3 4" xfId="1886" xr:uid="{00000000-0005-0000-0000-000060090000}"/>
    <cellStyle name="一般 4 3 4 3 5" xfId="2411" xr:uid="{00000000-0005-0000-0000-000061090000}"/>
    <cellStyle name="一般 4 3 4 4" xfId="1100" xr:uid="{00000000-0005-0000-0000-000062090000}"/>
    <cellStyle name="一般 4 3 4 5" xfId="575" xr:uid="{00000000-0005-0000-0000-000063090000}"/>
    <cellStyle name="一般 4 3 4 6" xfId="1625" xr:uid="{00000000-0005-0000-0000-000064090000}"/>
    <cellStyle name="一般 4 3 4 7" xfId="2150" xr:uid="{00000000-0005-0000-0000-000065090000}"/>
    <cellStyle name="一般 4 3 5" xfId="59" xr:uid="{00000000-0005-0000-0000-000066090000}"/>
    <cellStyle name="一般 4 3 5 2" xfId="185" xr:uid="{00000000-0005-0000-0000-000067090000}"/>
    <cellStyle name="一般 4 3 5 2 2" xfId="446" xr:uid="{00000000-0005-0000-0000-000068090000}"/>
    <cellStyle name="一般 4 3 5 2 2 2" xfId="1496" xr:uid="{00000000-0005-0000-0000-000069090000}"/>
    <cellStyle name="一般 4 3 5 2 2 3" xfId="971" xr:uid="{00000000-0005-0000-0000-00006A090000}"/>
    <cellStyle name="一般 4 3 5 2 2 4" xfId="2021" xr:uid="{00000000-0005-0000-0000-00006B090000}"/>
    <cellStyle name="一般 4 3 5 2 2 5" xfId="2546" xr:uid="{00000000-0005-0000-0000-00006C090000}"/>
    <cellStyle name="一般 4 3 5 2 3" xfId="1235" xr:uid="{00000000-0005-0000-0000-00006D090000}"/>
    <cellStyle name="一般 4 3 5 2 4" xfId="710" xr:uid="{00000000-0005-0000-0000-00006E090000}"/>
    <cellStyle name="一般 4 3 5 2 5" xfId="1760" xr:uid="{00000000-0005-0000-0000-00006F090000}"/>
    <cellStyle name="一般 4 3 5 2 6" xfId="2285" xr:uid="{00000000-0005-0000-0000-000070090000}"/>
    <cellStyle name="一般 4 3 5 3" xfId="320" xr:uid="{00000000-0005-0000-0000-000071090000}"/>
    <cellStyle name="一般 4 3 5 3 2" xfId="1370" xr:uid="{00000000-0005-0000-0000-000072090000}"/>
    <cellStyle name="一般 4 3 5 3 3" xfId="845" xr:uid="{00000000-0005-0000-0000-000073090000}"/>
    <cellStyle name="一般 4 3 5 3 4" xfId="1895" xr:uid="{00000000-0005-0000-0000-000074090000}"/>
    <cellStyle name="一般 4 3 5 3 5" xfId="2420" xr:uid="{00000000-0005-0000-0000-000075090000}"/>
    <cellStyle name="一般 4 3 5 4" xfId="1109" xr:uid="{00000000-0005-0000-0000-000076090000}"/>
    <cellStyle name="一般 4 3 5 5" xfId="584" xr:uid="{00000000-0005-0000-0000-000077090000}"/>
    <cellStyle name="一般 4 3 5 6" xfId="1634" xr:uid="{00000000-0005-0000-0000-000078090000}"/>
    <cellStyle name="一般 4 3 5 7" xfId="2159" xr:uid="{00000000-0005-0000-0000-000079090000}"/>
    <cellStyle name="一般 4 3 6" xfId="68" xr:uid="{00000000-0005-0000-0000-00007A090000}"/>
    <cellStyle name="一般 4 3 6 2" xfId="194" xr:uid="{00000000-0005-0000-0000-00007B090000}"/>
    <cellStyle name="一般 4 3 6 2 2" xfId="455" xr:uid="{00000000-0005-0000-0000-00007C090000}"/>
    <cellStyle name="一般 4 3 6 2 2 2" xfId="1505" xr:uid="{00000000-0005-0000-0000-00007D090000}"/>
    <cellStyle name="一般 4 3 6 2 2 3" xfId="980" xr:uid="{00000000-0005-0000-0000-00007E090000}"/>
    <cellStyle name="一般 4 3 6 2 2 4" xfId="2030" xr:uid="{00000000-0005-0000-0000-00007F090000}"/>
    <cellStyle name="一般 4 3 6 2 2 5" xfId="2555" xr:uid="{00000000-0005-0000-0000-000080090000}"/>
    <cellStyle name="一般 4 3 6 2 3" xfId="1244" xr:uid="{00000000-0005-0000-0000-000081090000}"/>
    <cellStyle name="一般 4 3 6 2 4" xfId="719" xr:uid="{00000000-0005-0000-0000-000082090000}"/>
    <cellStyle name="一般 4 3 6 2 5" xfId="1769" xr:uid="{00000000-0005-0000-0000-000083090000}"/>
    <cellStyle name="一般 4 3 6 2 6" xfId="2294" xr:uid="{00000000-0005-0000-0000-000084090000}"/>
    <cellStyle name="一般 4 3 6 3" xfId="329" xr:uid="{00000000-0005-0000-0000-000085090000}"/>
    <cellStyle name="一般 4 3 6 3 2" xfId="1379" xr:uid="{00000000-0005-0000-0000-000086090000}"/>
    <cellStyle name="一般 4 3 6 3 3" xfId="854" xr:uid="{00000000-0005-0000-0000-000087090000}"/>
    <cellStyle name="一般 4 3 6 3 4" xfId="1904" xr:uid="{00000000-0005-0000-0000-000088090000}"/>
    <cellStyle name="一般 4 3 6 3 5" xfId="2429" xr:uid="{00000000-0005-0000-0000-000089090000}"/>
    <cellStyle name="一般 4 3 6 4" xfId="1118" xr:uid="{00000000-0005-0000-0000-00008A090000}"/>
    <cellStyle name="一般 4 3 6 5" xfId="593" xr:uid="{00000000-0005-0000-0000-00008B090000}"/>
    <cellStyle name="一般 4 3 6 6" xfId="1643" xr:uid="{00000000-0005-0000-0000-00008C090000}"/>
    <cellStyle name="一般 4 3 6 7" xfId="2168" xr:uid="{00000000-0005-0000-0000-00008D090000}"/>
    <cellStyle name="一般 4 3 7" xfId="77" xr:uid="{00000000-0005-0000-0000-00008E090000}"/>
    <cellStyle name="一般 4 3 7 2" xfId="203" xr:uid="{00000000-0005-0000-0000-00008F090000}"/>
    <cellStyle name="一般 4 3 7 2 2" xfId="464" xr:uid="{00000000-0005-0000-0000-000090090000}"/>
    <cellStyle name="一般 4 3 7 2 2 2" xfId="1514" xr:uid="{00000000-0005-0000-0000-000091090000}"/>
    <cellStyle name="一般 4 3 7 2 2 3" xfId="989" xr:uid="{00000000-0005-0000-0000-000092090000}"/>
    <cellStyle name="一般 4 3 7 2 2 4" xfId="2039" xr:uid="{00000000-0005-0000-0000-000093090000}"/>
    <cellStyle name="一般 4 3 7 2 2 5" xfId="2564" xr:uid="{00000000-0005-0000-0000-000094090000}"/>
    <cellStyle name="一般 4 3 7 2 3" xfId="1253" xr:uid="{00000000-0005-0000-0000-000095090000}"/>
    <cellStyle name="一般 4 3 7 2 4" xfId="728" xr:uid="{00000000-0005-0000-0000-000096090000}"/>
    <cellStyle name="一般 4 3 7 2 5" xfId="1778" xr:uid="{00000000-0005-0000-0000-000097090000}"/>
    <cellStyle name="一般 4 3 7 2 6" xfId="2303" xr:uid="{00000000-0005-0000-0000-000098090000}"/>
    <cellStyle name="一般 4 3 7 3" xfId="338" xr:uid="{00000000-0005-0000-0000-000099090000}"/>
    <cellStyle name="一般 4 3 7 3 2" xfId="1388" xr:uid="{00000000-0005-0000-0000-00009A090000}"/>
    <cellStyle name="一般 4 3 7 3 3" xfId="863" xr:uid="{00000000-0005-0000-0000-00009B090000}"/>
    <cellStyle name="一般 4 3 7 3 4" xfId="1913" xr:uid="{00000000-0005-0000-0000-00009C090000}"/>
    <cellStyle name="一般 4 3 7 3 5" xfId="2438" xr:uid="{00000000-0005-0000-0000-00009D090000}"/>
    <cellStyle name="一般 4 3 7 4" xfId="1127" xr:uid="{00000000-0005-0000-0000-00009E090000}"/>
    <cellStyle name="一般 4 3 7 5" xfId="602" xr:uid="{00000000-0005-0000-0000-00009F090000}"/>
    <cellStyle name="一般 4 3 7 6" xfId="1652" xr:uid="{00000000-0005-0000-0000-0000A0090000}"/>
    <cellStyle name="一般 4 3 7 7" xfId="2177" xr:uid="{00000000-0005-0000-0000-0000A1090000}"/>
    <cellStyle name="一般 4 3 8" xfId="86" xr:uid="{00000000-0005-0000-0000-0000A2090000}"/>
    <cellStyle name="一般 4 3 8 2" xfId="212" xr:uid="{00000000-0005-0000-0000-0000A3090000}"/>
    <cellStyle name="一般 4 3 8 2 2" xfId="473" xr:uid="{00000000-0005-0000-0000-0000A4090000}"/>
    <cellStyle name="一般 4 3 8 2 2 2" xfId="1523" xr:uid="{00000000-0005-0000-0000-0000A5090000}"/>
    <cellStyle name="一般 4 3 8 2 2 3" xfId="998" xr:uid="{00000000-0005-0000-0000-0000A6090000}"/>
    <cellStyle name="一般 4 3 8 2 2 4" xfId="2048" xr:uid="{00000000-0005-0000-0000-0000A7090000}"/>
    <cellStyle name="一般 4 3 8 2 2 5" xfId="2573" xr:uid="{00000000-0005-0000-0000-0000A8090000}"/>
    <cellStyle name="一般 4 3 8 2 3" xfId="1262" xr:uid="{00000000-0005-0000-0000-0000A9090000}"/>
    <cellStyle name="一般 4 3 8 2 4" xfId="737" xr:uid="{00000000-0005-0000-0000-0000AA090000}"/>
    <cellStyle name="一般 4 3 8 2 5" xfId="1787" xr:uid="{00000000-0005-0000-0000-0000AB090000}"/>
    <cellStyle name="一般 4 3 8 2 6" xfId="2312" xr:uid="{00000000-0005-0000-0000-0000AC090000}"/>
    <cellStyle name="一般 4 3 8 3" xfId="347" xr:uid="{00000000-0005-0000-0000-0000AD090000}"/>
    <cellStyle name="一般 4 3 8 3 2" xfId="1397" xr:uid="{00000000-0005-0000-0000-0000AE090000}"/>
    <cellStyle name="一般 4 3 8 3 3" xfId="872" xr:uid="{00000000-0005-0000-0000-0000AF090000}"/>
    <cellStyle name="一般 4 3 8 3 4" xfId="1922" xr:uid="{00000000-0005-0000-0000-0000B0090000}"/>
    <cellStyle name="一般 4 3 8 3 5" xfId="2447" xr:uid="{00000000-0005-0000-0000-0000B1090000}"/>
    <cellStyle name="一般 4 3 8 4" xfId="1136" xr:uid="{00000000-0005-0000-0000-0000B2090000}"/>
    <cellStyle name="一般 4 3 8 5" xfId="611" xr:uid="{00000000-0005-0000-0000-0000B3090000}"/>
    <cellStyle name="一般 4 3 8 6" xfId="1661" xr:uid="{00000000-0005-0000-0000-0000B4090000}"/>
    <cellStyle name="一般 4 3 8 7" xfId="2186" xr:uid="{00000000-0005-0000-0000-0000B5090000}"/>
    <cellStyle name="一般 4 3 9" xfId="95" xr:uid="{00000000-0005-0000-0000-0000B6090000}"/>
    <cellStyle name="一般 4 3 9 2" xfId="221" xr:uid="{00000000-0005-0000-0000-0000B7090000}"/>
    <cellStyle name="一般 4 3 9 2 2" xfId="482" xr:uid="{00000000-0005-0000-0000-0000B8090000}"/>
    <cellStyle name="一般 4 3 9 2 2 2" xfId="1532" xr:uid="{00000000-0005-0000-0000-0000B9090000}"/>
    <cellStyle name="一般 4 3 9 2 2 3" xfId="1007" xr:uid="{00000000-0005-0000-0000-0000BA090000}"/>
    <cellStyle name="一般 4 3 9 2 2 4" xfId="2057" xr:uid="{00000000-0005-0000-0000-0000BB090000}"/>
    <cellStyle name="一般 4 3 9 2 2 5" xfId="2582" xr:uid="{00000000-0005-0000-0000-0000BC090000}"/>
    <cellStyle name="一般 4 3 9 2 3" xfId="1271" xr:uid="{00000000-0005-0000-0000-0000BD090000}"/>
    <cellStyle name="一般 4 3 9 2 4" xfId="746" xr:uid="{00000000-0005-0000-0000-0000BE090000}"/>
    <cellStyle name="一般 4 3 9 2 5" xfId="1796" xr:uid="{00000000-0005-0000-0000-0000BF090000}"/>
    <cellStyle name="一般 4 3 9 2 6" xfId="2321" xr:uid="{00000000-0005-0000-0000-0000C0090000}"/>
    <cellStyle name="一般 4 3 9 3" xfId="356" xr:uid="{00000000-0005-0000-0000-0000C1090000}"/>
    <cellStyle name="一般 4 3 9 3 2" xfId="1406" xr:uid="{00000000-0005-0000-0000-0000C2090000}"/>
    <cellStyle name="一般 4 3 9 3 3" xfId="881" xr:uid="{00000000-0005-0000-0000-0000C3090000}"/>
    <cellStyle name="一般 4 3 9 3 4" xfId="1931" xr:uid="{00000000-0005-0000-0000-0000C4090000}"/>
    <cellStyle name="一般 4 3 9 3 5" xfId="2456" xr:uid="{00000000-0005-0000-0000-0000C5090000}"/>
    <cellStyle name="一般 4 3 9 4" xfId="1145" xr:uid="{00000000-0005-0000-0000-0000C6090000}"/>
    <cellStyle name="一般 4 3 9 5" xfId="620" xr:uid="{00000000-0005-0000-0000-0000C7090000}"/>
    <cellStyle name="一般 4 3 9 6" xfId="1670" xr:uid="{00000000-0005-0000-0000-0000C8090000}"/>
    <cellStyle name="一般 4 3 9 7" xfId="2195" xr:uid="{00000000-0005-0000-0000-0000C9090000}"/>
    <cellStyle name="一般 4 4" xfId="27" xr:uid="{00000000-0005-0000-0000-0000CA090000}"/>
    <cellStyle name="一般 4 4 2" xfId="153" xr:uid="{00000000-0005-0000-0000-0000CB090000}"/>
    <cellStyle name="一般 4 4 2 2" xfId="414" xr:uid="{00000000-0005-0000-0000-0000CC090000}"/>
    <cellStyle name="一般 4 4 2 2 2" xfId="1464" xr:uid="{00000000-0005-0000-0000-0000CD090000}"/>
    <cellStyle name="一般 4 4 2 2 3" xfId="939" xr:uid="{00000000-0005-0000-0000-0000CE090000}"/>
    <cellStyle name="一般 4 4 2 2 4" xfId="1989" xr:uid="{00000000-0005-0000-0000-0000CF090000}"/>
    <cellStyle name="一般 4 4 2 2 5" xfId="2514" xr:uid="{00000000-0005-0000-0000-0000D0090000}"/>
    <cellStyle name="一般 4 4 2 3" xfId="1203" xr:uid="{00000000-0005-0000-0000-0000D1090000}"/>
    <cellStyle name="一般 4 4 2 4" xfId="678" xr:uid="{00000000-0005-0000-0000-0000D2090000}"/>
    <cellStyle name="一般 4 4 2 5" xfId="1728" xr:uid="{00000000-0005-0000-0000-0000D3090000}"/>
    <cellStyle name="一般 4 4 2 6" xfId="2253" xr:uid="{00000000-0005-0000-0000-0000D4090000}"/>
    <cellStyle name="一般 4 4 3" xfId="288" xr:uid="{00000000-0005-0000-0000-0000D5090000}"/>
    <cellStyle name="一般 4 4 3 2" xfId="1338" xr:uid="{00000000-0005-0000-0000-0000D6090000}"/>
    <cellStyle name="一般 4 4 3 3" xfId="813" xr:uid="{00000000-0005-0000-0000-0000D7090000}"/>
    <cellStyle name="一般 4 4 3 4" xfId="1863" xr:uid="{00000000-0005-0000-0000-0000D8090000}"/>
    <cellStyle name="一般 4 4 3 5" xfId="2388" xr:uid="{00000000-0005-0000-0000-0000D9090000}"/>
    <cellStyle name="一般 4 4 4" xfId="1077" xr:uid="{00000000-0005-0000-0000-0000DA090000}"/>
    <cellStyle name="一般 4 4 5" xfId="552" xr:uid="{00000000-0005-0000-0000-0000DB090000}"/>
    <cellStyle name="一般 4 4 6" xfId="1602" xr:uid="{00000000-0005-0000-0000-0000DC090000}"/>
    <cellStyle name="一般 4 4 7" xfId="2127" xr:uid="{00000000-0005-0000-0000-0000DD090000}"/>
    <cellStyle name="一般 4 5" xfId="36" xr:uid="{00000000-0005-0000-0000-0000DE090000}"/>
    <cellStyle name="一般 4 5 2" xfId="162" xr:uid="{00000000-0005-0000-0000-0000DF090000}"/>
    <cellStyle name="一般 4 5 2 2" xfId="423" xr:uid="{00000000-0005-0000-0000-0000E0090000}"/>
    <cellStyle name="一般 4 5 2 2 2" xfId="1473" xr:uid="{00000000-0005-0000-0000-0000E1090000}"/>
    <cellStyle name="一般 4 5 2 2 3" xfId="948" xr:uid="{00000000-0005-0000-0000-0000E2090000}"/>
    <cellStyle name="一般 4 5 2 2 4" xfId="1998" xr:uid="{00000000-0005-0000-0000-0000E3090000}"/>
    <cellStyle name="一般 4 5 2 2 5" xfId="2523" xr:uid="{00000000-0005-0000-0000-0000E4090000}"/>
    <cellStyle name="一般 4 5 2 3" xfId="1212" xr:uid="{00000000-0005-0000-0000-0000E5090000}"/>
    <cellStyle name="一般 4 5 2 4" xfId="687" xr:uid="{00000000-0005-0000-0000-0000E6090000}"/>
    <cellStyle name="一般 4 5 2 5" xfId="1737" xr:uid="{00000000-0005-0000-0000-0000E7090000}"/>
    <cellStyle name="一般 4 5 2 6" xfId="2262" xr:uid="{00000000-0005-0000-0000-0000E8090000}"/>
    <cellStyle name="一般 4 5 3" xfId="297" xr:uid="{00000000-0005-0000-0000-0000E9090000}"/>
    <cellStyle name="一般 4 5 3 2" xfId="1347" xr:uid="{00000000-0005-0000-0000-0000EA090000}"/>
    <cellStyle name="一般 4 5 3 3" xfId="822" xr:uid="{00000000-0005-0000-0000-0000EB090000}"/>
    <cellStyle name="一般 4 5 3 4" xfId="1872" xr:uid="{00000000-0005-0000-0000-0000EC090000}"/>
    <cellStyle name="一般 4 5 3 5" xfId="2397" xr:uid="{00000000-0005-0000-0000-0000ED090000}"/>
    <cellStyle name="一般 4 5 4" xfId="1086" xr:uid="{00000000-0005-0000-0000-0000EE090000}"/>
    <cellStyle name="一般 4 5 5" xfId="561" xr:uid="{00000000-0005-0000-0000-0000EF090000}"/>
    <cellStyle name="一般 4 5 6" xfId="1611" xr:uid="{00000000-0005-0000-0000-0000F0090000}"/>
    <cellStyle name="一般 4 5 7" xfId="2136" xr:uid="{00000000-0005-0000-0000-0000F1090000}"/>
    <cellStyle name="一般 4 6" xfId="46" xr:uid="{00000000-0005-0000-0000-0000F2090000}"/>
    <cellStyle name="一般 4 6 2" xfId="172" xr:uid="{00000000-0005-0000-0000-0000F3090000}"/>
    <cellStyle name="一般 4 6 2 2" xfId="433" xr:uid="{00000000-0005-0000-0000-0000F4090000}"/>
    <cellStyle name="一般 4 6 2 2 2" xfId="1483" xr:uid="{00000000-0005-0000-0000-0000F5090000}"/>
    <cellStyle name="一般 4 6 2 2 3" xfId="958" xr:uid="{00000000-0005-0000-0000-0000F6090000}"/>
    <cellStyle name="一般 4 6 2 2 4" xfId="2008" xr:uid="{00000000-0005-0000-0000-0000F7090000}"/>
    <cellStyle name="一般 4 6 2 2 5" xfId="2533" xr:uid="{00000000-0005-0000-0000-0000F8090000}"/>
    <cellStyle name="一般 4 6 2 3" xfId="1222" xr:uid="{00000000-0005-0000-0000-0000F9090000}"/>
    <cellStyle name="一般 4 6 2 4" xfId="697" xr:uid="{00000000-0005-0000-0000-0000FA090000}"/>
    <cellStyle name="一般 4 6 2 5" xfId="1747" xr:uid="{00000000-0005-0000-0000-0000FB090000}"/>
    <cellStyle name="一般 4 6 2 6" xfId="2272" xr:uid="{00000000-0005-0000-0000-0000FC090000}"/>
    <cellStyle name="一般 4 6 3" xfId="307" xr:uid="{00000000-0005-0000-0000-0000FD090000}"/>
    <cellStyle name="一般 4 6 3 2" xfId="1357" xr:uid="{00000000-0005-0000-0000-0000FE090000}"/>
    <cellStyle name="一般 4 6 3 3" xfId="832" xr:uid="{00000000-0005-0000-0000-0000FF090000}"/>
    <cellStyle name="一般 4 6 3 4" xfId="1882" xr:uid="{00000000-0005-0000-0000-0000000A0000}"/>
    <cellStyle name="一般 4 6 3 5" xfId="2407" xr:uid="{00000000-0005-0000-0000-0000010A0000}"/>
    <cellStyle name="一般 4 6 4" xfId="1096" xr:uid="{00000000-0005-0000-0000-0000020A0000}"/>
    <cellStyle name="一般 4 6 5" xfId="571" xr:uid="{00000000-0005-0000-0000-0000030A0000}"/>
    <cellStyle name="一般 4 6 6" xfId="1621" xr:uid="{00000000-0005-0000-0000-0000040A0000}"/>
    <cellStyle name="一般 4 6 7" xfId="2146" xr:uid="{00000000-0005-0000-0000-0000050A0000}"/>
    <cellStyle name="一般 4 7" xfId="53" xr:uid="{00000000-0005-0000-0000-0000060A0000}"/>
    <cellStyle name="一般 4 7 2" xfId="179" xr:uid="{00000000-0005-0000-0000-0000070A0000}"/>
    <cellStyle name="一般 4 7 2 2" xfId="440" xr:uid="{00000000-0005-0000-0000-0000080A0000}"/>
    <cellStyle name="一般 4 7 2 2 2" xfId="1490" xr:uid="{00000000-0005-0000-0000-0000090A0000}"/>
    <cellStyle name="一般 4 7 2 2 3" xfId="965" xr:uid="{00000000-0005-0000-0000-00000A0A0000}"/>
    <cellStyle name="一般 4 7 2 2 4" xfId="2015" xr:uid="{00000000-0005-0000-0000-00000B0A0000}"/>
    <cellStyle name="一般 4 7 2 2 5" xfId="2540" xr:uid="{00000000-0005-0000-0000-00000C0A0000}"/>
    <cellStyle name="一般 4 7 2 3" xfId="1229" xr:uid="{00000000-0005-0000-0000-00000D0A0000}"/>
    <cellStyle name="一般 4 7 2 4" xfId="704" xr:uid="{00000000-0005-0000-0000-00000E0A0000}"/>
    <cellStyle name="一般 4 7 2 5" xfId="1754" xr:uid="{00000000-0005-0000-0000-00000F0A0000}"/>
    <cellStyle name="一般 4 7 2 6" xfId="2279" xr:uid="{00000000-0005-0000-0000-0000100A0000}"/>
    <cellStyle name="一般 4 7 3" xfId="314" xr:uid="{00000000-0005-0000-0000-0000110A0000}"/>
    <cellStyle name="一般 4 7 3 2" xfId="1364" xr:uid="{00000000-0005-0000-0000-0000120A0000}"/>
    <cellStyle name="一般 4 7 3 3" xfId="839" xr:uid="{00000000-0005-0000-0000-0000130A0000}"/>
    <cellStyle name="一般 4 7 3 4" xfId="1889" xr:uid="{00000000-0005-0000-0000-0000140A0000}"/>
    <cellStyle name="一般 4 7 3 5" xfId="2414" xr:uid="{00000000-0005-0000-0000-0000150A0000}"/>
    <cellStyle name="一般 4 7 4" xfId="1103" xr:uid="{00000000-0005-0000-0000-0000160A0000}"/>
    <cellStyle name="一般 4 7 5" xfId="578" xr:uid="{00000000-0005-0000-0000-0000170A0000}"/>
    <cellStyle name="一般 4 7 6" xfId="1628" xr:uid="{00000000-0005-0000-0000-0000180A0000}"/>
    <cellStyle name="一般 4 7 7" xfId="2153" xr:uid="{00000000-0005-0000-0000-0000190A0000}"/>
    <cellStyle name="一般 4 8" xfId="62" xr:uid="{00000000-0005-0000-0000-00001A0A0000}"/>
    <cellStyle name="一般 4 8 2" xfId="188" xr:uid="{00000000-0005-0000-0000-00001B0A0000}"/>
    <cellStyle name="一般 4 8 2 2" xfId="449" xr:uid="{00000000-0005-0000-0000-00001C0A0000}"/>
    <cellStyle name="一般 4 8 2 2 2" xfId="1499" xr:uid="{00000000-0005-0000-0000-00001D0A0000}"/>
    <cellStyle name="一般 4 8 2 2 3" xfId="974" xr:uid="{00000000-0005-0000-0000-00001E0A0000}"/>
    <cellStyle name="一般 4 8 2 2 4" xfId="2024" xr:uid="{00000000-0005-0000-0000-00001F0A0000}"/>
    <cellStyle name="一般 4 8 2 2 5" xfId="2549" xr:uid="{00000000-0005-0000-0000-0000200A0000}"/>
    <cellStyle name="一般 4 8 2 3" xfId="1238" xr:uid="{00000000-0005-0000-0000-0000210A0000}"/>
    <cellStyle name="一般 4 8 2 4" xfId="713" xr:uid="{00000000-0005-0000-0000-0000220A0000}"/>
    <cellStyle name="一般 4 8 2 5" xfId="1763" xr:uid="{00000000-0005-0000-0000-0000230A0000}"/>
    <cellStyle name="一般 4 8 2 6" xfId="2288" xr:uid="{00000000-0005-0000-0000-0000240A0000}"/>
    <cellStyle name="一般 4 8 3" xfId="323" xr:uid="{00000000-0005-0000-0000-0000250A0000}"/>
    <cellStyle name="一般 4 8 3 2" xfId="1373" xr:uid="{00000000-0005-0000-0000-0000260A0000}"/>
    <cellStyle name="一般 4 8 3 3" xfId="848" xr:uid="{00000000-0005-0000-0000-0000270A0000}"/>
    <cellStyle name="一般 4 8 3 4" xfId="1898" xr:uid="{00000000-0005-0000-0000-0000280A0000}"/>
    <cellStyle name="一般 4 8 3 5" xfId="2423" xr:uid="{00000000-0005-0000-0000-0000290A0000}"/>
    <cellStyle name="一般 4 8 4" xfId="1112" xr:uid="{00000000-0005-0000-0000-00002A0A0000}"/>
    <cellStyle name="一般 4 8 5" xfId="587" xr:uid="{00000000-0005-0000-0000-00002B0A0000}"/>
    <cellStyle name="一般 4 8 6" xfId="1637" xr:uid="{00000000-0005-0000-0000-00002C0A0000}"/>
    <cellStyle name="一般 4 8 7" xfId="2162" xr:uid="{00000000-0005-0000-0000-00002D0A0000}"/>
    <cellStyle name="一般 4 9" xfId="71" xr:uid="{00000000-0005-0000-0000-00002E0A0000}"/>
    <cellStyle name="一般 4 9 2" xfId="197" xr:uid="{00000000-0005-0000-0000-00002F0A0000}"/>
    <cellStyle name="一般 4 9 2 2" xfId="458" xr:uid="{00000000-0005-0000-0000-0000300A0000}"/>
    <cellStyle name="一般 4 9 2 2 2" xfId="1508" xr:uid="{00000000-0005-0000-0000-0000310A0000}"/>
    <cellStyle name="一般 4 9 2 2 3" xfId="983" xr:uid="{00000000-0005-0000-0000-0000320A0000}"/>
    <cellStyle name="一般 4 9 2 2 4" xfId="2033" xr:uid="{00000000-0005-0000-0000-0000330A0000}"/>
    <cellStyle name="一般 4 9 2 2 5" xfId="2558" xr:uid="{00000000-0005-0000-0000-0000340A0000}"/>
    <cellStyle name="一般 4 9 2 3" xfId="1247" xr:uid="{00000000-0005-0000-0000-0000350A0000}"/>
    <cellStyle name="一般 4 9 2 4" xfId="722" xr:uid="{00000000-0005-0000-0000-0000360A0000}"/>
    <cellStyle name="一般 4 9 2 5" xfId="1772" xr:uid="{00000000-0005-0000-0000-0000370A0000}"/>
    <cellStyle name="一般 4 9 2 6" xfId="2297" xr:uid="{00000000-0005-0000-0000-0000380A0000}"/>
    <cellStyle name="一般 4 9 3" xfId="332" xr:uid="{00000000-0005-0000-0000-0000390A0000}"/>
    <cellStyle name="一般 4 9 3 2" xfId="1382" xr:uid="{00000000-0005-0000-0000-00003A0A0000}"/>
    <cellStyle name="一般 4 9 3 3" xfId="857" xr:uid="{00000000-0005-0000-0000-00003B0A0000}"/>
    <cellStyle name="一般 4 9 3 4" xfId="1907" xr:uid="{00000000-0005-0000-0000-00003C0A0000}"/>
    <cellStyle name="一般 4 9 3 5" xfId="2432" xr:uid="{00000000-0005-0000-0000-00003D0A0000}"/>
    <cellStyle name="一般 4 9 4" xfId="1121" xr:uid="{00000000-0005-0000-0000-00003E0A0000}"/>
    <cellStyle name="一般 4 9 5" xfId="596" xr:uid="{00000000-0005-0000-0000-00003F0A0000}"/>
    <cellStyle name="一般 4 9 6" xfId="1646" xr:uid="{00000000-0005-0000-0000-0000400A0000}"/>
    <cellStyle name="一般 4 9 7" xfId="2171" xr:uid="{00000000-0005-0000-0000-0000410A0000}"/>
    <cellStyle name="一般 5" xfId="5" xr:uid="{00000000-0005-0000-0000-0000420A0000}"/>
    <cellStyle name="一般 6" xfId="4" xr:uid="{00000000-0005-0000-0000-0000430A0000}"/>
    <cellStyle name="一般 7" xfId="2628" xr:uid="{00000000-0005-0000-0000-0000440A0000}"/>
    <cellStyle name="一般 8" xfId="2629" xr:uid="{75C9F168-4ED8-47EE-A447-9C4043AF00FF}"/>
  </cellStyles>
  <dxfs count="0"/>
  <tableStyles count="0" defaultTableStyle="TableStyleMedium2" defaultPivotStyle="PivotStyleLight16"/>
  <colors>
    <mruColors>
      <color rgb="FF0000FF"/>
      <color rgb="FFFF99FF"/>
      <color rgb="FFFFCCFF"/>
      <color rgb="FF00FFFF"/>
      <color rgb="FFFFCC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223472</xdr:colOff>
      <xdr:row>63</xdr:row>
      <xdr:rowOff>161363</xdr:rowOff>
    </xdr:from>
    <xdr:to>
      <xdr:col>29</xdr:col>
      <xdr:colOff>389331</xdr:colOff>
      <xdr:row>79</xdr:row>
      <xdr:rowOff>165784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B14B083-95F4-14BE-4188-DB42B1D2A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32696" y="15535834"/>
          <a:ext cx="6441153" cy="306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D70"/>
  <sheetViews>
    <sheetView zoomScale="85" zoomScaleNormal="85" workbookViewId="0">
      <pane xSplit="3" ySplit="1" topLeftCell="Q58" activePane="bottomRight" state="frozen"/>
      <selection pane="topRight" activeCell="J24" sqref="J24"/>
      <selection pane="bottomLeft" activeCell="J24" sqref="J24"/>
      <selection pane="bottomRight" activeCell="Q62" sqref="Q62"/>
    </sheetView>
  </sheetViews>
  <sheetFormatPr defaultColWidth="9" defaultRowHeight="15" x14ac:dyDescent="0.3"/>
  <cols>
    <col min="1" max="1" width="11.33203125" style="2" customWidth="1"/>
    <col min="2" max="2" width="9" style="2"/>
    <col min="3" max="3" width="33.44140625" style="2" customWidth="1"/>
    <col min="4" max="4" width="11.109375" style="2" customWidth="1"/>
    <col min="5" max="5" width="12.6640625" style="2" customWidth="1"/>
    <col min="6" max="6" width="12.109375" style="2" customWidth="1"/>
    <col min="7" max="7" width="23.6640625" style="2" customWidth="1"/>
    <col min="8" max="8" width="11" style="2" customWidth="1"/>
    <col min="9" max="9" width="21.44140625" style="2" customWidth="1"/>
    <col min="10" max="10" width="8.6640625" style="2" customWidth="1"/>
    <col min="11" max="11" width="31.33203125" style="2" customWidth="1"/>
    <col min="12" max="12" width="31.6640625" style="2" hidden="1" customWidth="1"/>
    <col min="13" max="13" width="10" style="2" hidden="1" customWidth="1"/>
    <col min="14" max="14" width="11.109375" style="2" hidden="1" customWidth="1"/>
    <col min="15" max="15" width="19.88671875" style="2" hidden="1" customWidth="1"/>
    <col min="16" max="16" width="17" style="2" hidden="1" customWidth="1"/>
    <col min="17" max="17" width="43.21875" style="2" customWidth="1"/>
    <col min="18" max="18" width="34.88671875" style="4" customWidth="1"/>
    <col min="19" max="19" width="27.44140625" style="4" customWidth="1"/>
    <col min="20" max="20" width="22.44140625" style="3" hidden="1" customWidth="1"/>
    <col min="21" max="21" width="13" style="2" hidden="1" customWidth="1"/>
    <col min="22" max="22" width="21.44140625" style="2" hidden="1" customWidth="1"/>
    <col min="23" max="24" width="16.6640625" style="2" hidden="1" customWidth="1"/>
    <col min="25" max="25" width="22.44140625" style="3" customWidth="1"/>
    <col min="26" max="26" width="10.109375" style="2" customWidth="1"/>
    <col min="27" max="27" width="9.33203125" style="2" customWidth="1"/>
    <col min="28" max="28" width="18.109375" style="2" customWidth="1"/>
    <col min="29" max="29" width="31.44140625" style="2" customWidth="1"/>
    <col min="30" max="30" width="14.109375" style="2" customWidth="1"/>
    <col min="31" max="16384" width="9" style="2"/>
  </cols>
  <sheetData>
    <row r="1" spans="1:29" s="1" customFormat="1" ht="75" x14ac:dyDescent="0.3">
      <c r="A1" s="1" t="s">
        <v>0</v>
      </c>
      <c r="C1" s="41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5" t="s">
        <v>13</v>
      </c>
      <c r="P1" s="45" t="s">
        <v>14</v>
      </c>
      <c r="Q1" s="68" t="s">
        <v>15</v>
      </c>
      <c r="R1" s="67" t="s">
        <v>16</v>
      </c>
      <c r="S1" s="67" t="s">
        <v>17</v>
      </c>
      <c r="T1" s="43" t="s">
        <v>18</v>
      </c>
      <c r="U1" s="45" t="s">
        <v>19</v>
      </c>
      <c r="V1" s="44" t="s">
        <v>20</v>
      </c>
      <c r="W1" s="44" t="s">
        <v>21</v>
      </c>
      <c r="X1" s="44" t="s">
        <v>22</v>
      </c>
      <c r="Y1" s="43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</row>
    <row r="2" spans="1:29" hidden="1" x14ac:dyDescent="0.3">
      <c r="C2" s="92" t="s">
        <v>28</v>
      </c>
      <c r="D2" s="93" t="s">
        <v>29</v>
      </c>
      <c r="E2" s="95">
        <v>8.9</v>
      </c>
      <c r="F2" s="93" t="s">
        <v>30</v>
      </c>
      <c r="G2" s="93" t="s">
        <v>31</v>
      </c>
      <c r="H2" s="93" t="s">
        <v>32</v>
      </c>
      <c r="I2" s="93" t="s">
        <v>33</v>
      </c>
      <c r="J2" s="93" t="s">
        <v>34</v>
      </c>
      <c r="K2" s="93" t="s">
        <v>35</v>
      </c>
      <c r="L2" s="93" t="s">
        <v>36</v>
      </c>
      <c r="M2" s="93">
        <v>32</v>
      </c>
      <c r="N2" s="93">
        <v>120</v>
      </c>
      <c r="O2" s="93">
        <v>300</v>
      </c>
      <c r="P2" s="93" t="s">
        <v>33</v>
      </c>
      <c r="Q2" s="93" t="s">
        <v>33</v>
      </c>
      <c r="R2" s="93" t="s">
        <v>33</v>
      </c>
      <c r="S2" s="93" t="s">
        <v>33</v>
      </c>
      <c r="T2" s="93" t="s">
        <v>33</v>
      </c>
      <c r="U2" s="93" t="s">
        <v>33</v>
      </c>
      <c r="V2" s="93" t="s">
        <v>33</v>
      </c>
      <c r="W2" s="93" t="s">
        <v>33</v>
      </c>
      <c r="X2" s="93" t="s">
        <v>33</v>
      </c>
      <c r="Y2" s="93" t="s">
        <v>33</v>
      </c>
      <c r="Z2" s="93" t="s">
        <v>33</v>
      </c>
      <c r="AA2" s="93" t="s">
        <v>33</v>
      </c>
      <c r="AB2" s="93" t="s">
        <v>33</v>
      </c>
      <c r="AC2" s="93" t="s">
        <v>33</v>
      </c>
    </row>
    <row r="3" spans="1:29" hidden="1" x14ac:dyDescent="0.3">
      <c r="C3" s="92" t="s">
        <v>37</v>
      </c>
      <c r="D3" s="95" t="s">
        <v>29</v>
      </c>
      <c r="E3" s="95">
        <v>8.9</v>
      </c>
      <c r="F3" s="95" t="s">
        <v>30</v>
      </c>
      <c r="G3" s="95" t="s">
        <v>31</v>
      </c>
      <c r="H3" s="95" t="s">
        <v>32</v>
      </c>
      <c r="I3" s="95" t="s">
        <v>33</v>
      </c>
      <c r="J3" s="95" t="s">
        <v>34</v>
      </c>
      <c r="K3" s="95" t="s">
        <v>38</v>
      </c>
      <c r="L3" s="95" t="s">
        <v>36</v>
      </c>
      <c r="M3" s="95">
        <v>16</v>
      </c>
      <c r="N3" s="95">
        <v>120</v>
      </c>
      <c r="O3" s="95">
        <v>300</v>
      </c>
      <c r="P3" s="95" t="s">
        <v>33</v>
      </c>
      <c r="Q3" s="95" t="s">
        <v>33</v>
      </c>
      <c r="R3" s="95" t="s">
        <v>33</v>
      </c>
      <c r="S3" s="95" t="s">
        <v>33</v>
      </c>
      <c r="T3" s="95" t="s">
        <v>33</v>
      </c>
      <c r="U3" s="95" t="s">
        <v>33</v>
      </c>
      <c r="V3" s="95" t="s">
        <v>33</v>
      </c>
      <c r="W3" s="95" t="s">
        <v>33</v>
      </c>
      <c r="X3" s="95" t="s">
        <v>33</v>
      </c>
      <c r="Y3" s="95" t="s">
        <v>33</v>
      </c>
      <c r="Z3" s="95" t="s">
        <v>33</v>
      </c>
      <c r="AA3" s="95" t="s">
        <v>33</v>
      </c>
      <c r="AB3" s="95" t="s">
        <v>33</v>
      </c>
      <c r="AC3" s="95" t="s">
        <v>33</v>
      </c>
    </row>
    <row r="4" spans="1:29" hidden="1" x14ac:dyDescent="0.3">
      <c r="C4" s="94" t="s">
        <v>39</v>
      </c>
      <c r="D4" s="95" t="s">
        <v>29</v>
      </c>
      <c r="E4" s="95">
        <v>8.9</v>
      </c>
      <c r="F4" s="95" t="s">
        <v>30</v>
      </c>
      <c r="G4" s="95" t="s">
        <v>31</v>
      </c>
      <c r="H4" s="95" t="s">
        <v>32</v>
      </c>
      <c r="I4" s="95" t="s">
        <v>33</v>
      </c>
      <c r="J4" s="95" t="s">
        <v>34</v>
      </c>
      <c r="K4" s="95" t="s">
        <v>40</v>
      </c>
      <c r="L4" s="95" t="s">
        <v>36</v>
      </c>
      <c r="M4" s="95">
        <v>16</v>
      </c>
      <c r="N4" s="95">
        <v>100</v>
      </c>
      <c r="O4" s="95">
        <v>300</v>
      </c>
      <c r="P4" s="95" t="s">
        <v>33</v>
      </c>
      <c r="Q4" s="95" t="s">
        <v>33</v>
      </c>
      <c r="R4" s="95" t="s">
        <v>33</v>
      </c>
      <c r="S4" s="95" t="s">
        <v>33</v>
      </c>
      <c r="T4" s="95" t="s">
        <v>33</v>
      </c>
      <c r="U4" s="95" t="s">
        <v>33</v>
      </c>
      <c r="V4" s="95" t="s">
        <v>33</v>
      </c>
      <c r="W4" s="95" t="s">
        <v>33</v>
      </c>
      <c r="X4" s="95" t="s">
        <v>33</v>
      </c>
      <c r="Y4" s="95" t="s">
        <v>33</v>
      </c>
      <c r="Z4" s="95" t="s">
        <v>33</v>
      </c>
      <c r="AA4" s="95" t="s">
        <v>33</v>
      </c>
      <c r="AB4" s="95" t="s">
        <v>33</v>
      </c>
      <c r="AC4" s="95" t="s">
        <v>33</v>
      </c>
    </row>
    <row r="5" spans="1:29" hidden="1" x14ac:dyDescent="0.3">
      <c r="C5" s="94" t="s">
        <v>41</v>
      </c>
      <c r="D5" s="95" t="s">
        <v>29</v>
      </c>
      <c r="E5" s="95">
        <v>8.9</v>
      </c>
      <c r="F5" s="95" t="s">
        <v>30</v>
      </c>
      <c r="G5" s="95" t="s">
        <v>31</v>
      </c>
      <c r="H5" s="95" t="s">
        <v>32</v>
      </c>
      <c r="I5" s="95" t="s">
        <v>33</v>
      </c>
      <c r="J5" s="95" t="s">
        <v>34</v>
      </c>
      <c r="K5" s="95" t="s">
        <v>42</v>
      </c>
      <c r="L5" s="95" t="s">
        <v>36</v>
      </c>
      <c r="M5" s="95">
        <v>8</v>
      </c>
      <c r="N5" s="95">
        <v>100</v>
      </c>
      <c r="O5" s="95">
        <v>300</v>
      </c>
      <c r="P5" s="95" t="s">
        <v>33</v>
      </c>
      <c r="Q5" s="95" t="s">
        <v>33</v>
      </c>
      <c r="R5" s="95" t="s">
        <v>33</v>
      </c>
      <c r="S5" s="95" t="s">
        <v>33</v>
      </c>
      <c r="T5" s="95" t="s">
        <v>33</v>
      </c>
      <c r="U5" s="95" t="s">
        <v>33</v>
      </c>
      <c r="V5" s="95" t="s">
        <v>33</v>
      </c>
      <c r="W5" s="95" t="s">
        <v>33</v>
      </c>
      <c r="X5" s="95" t="s">
        <v>33</v>
      </c>
      <c r="Y5" s="95" t="s">
        <v>33</v>
      </c>
      <c r="Z5" s="95" t="s">
        <v>33</v>
      </c>
      <c r="AA5" s="95" t="s">
        <v>33</v>
      </c>
      <c r="AB5" s="95" t="s">
        <v>33</v>
      </c>
      <c r="AC5" s="95" t="s">
        <v>33</v>
      </c>
    </row>
    <row r="6" spans="1:29" hidden="1" x14ac:dyDescent="0.3">
      <c r="C6" s="94" t="s">
        <v>43</v>
      </c>
      <c r="D6" s="95" t="s">
        <v>29</v>
      </c>
      <c r="E6" s="95">
        <v>8.9</v>
      </c>
      <c r="F6" s="95" t="s">
        <v>30</v>
      </c>
      <c r="G6" s="95" t="s">
        <v>31</v>
      </c>
      <c r="H6" s="95" t="s">
        <v>32</v>
      </c>
      <c r="I6" s="95" t="s">
        <v>33</v>
      </c>
      <c r="J6" s="95" t="s">
        <v>34</v>
      </c>
      <c r="K6" s="95" t="s">
        <v>44</v>
      </c>
      <c r="L6" s="95" t="s">
        <v>36</v>
      </c>
      <c r="M6" s="95">
        <v>18</v>
      </c>
      <c r="N6" s="95">
        <v>100</v>
      </c>
      <c r="O6" s="95">
        <v>300</v>
      </c>
      <c r="P6" s="95" t="s">
        <v>33</v>
      </c>
      <c r="Q6" s="95" t="s">
        <v>33</v>
      </c>
      <c r="R6" s="95" t="s">
        <v>33</v>
      </c>
      <c r="S6" s="95" t="s">
        <v>33</v>
      </c>
      <c r="T6" s="95" t="s">
        <v>33</v>
      </c>
      <c r="U6" s="95" t="s">
        <v>33</v>
      </c>
      <c r="V6" s="95" t="s">
        <v>33</v>
      </c>
      <c r="W6" s="95" t="s">
        <v>33</v>
      </c>
      <c r="X6" s="95" t="s">
        <v>33</v>
      </c>
      <c r="Y6" s="95" t="s">
        <v>33</v>
      </c>
      <c r="Z6" s="95" t="s">
        <v>33</v>
      </c>
      <c r="AA6" s="95" t="s">
        <v>33</v>
      </c>
      <c r="AB6" s="95" t="s">
        <v>33</v>
      </c>
      <c r="AC6" s="95" t="s">
        <v>33</v>
      </c>
    </row>
    <row r="7" spans="1:29" hidden="1" x14ac:dyDescent="0.3">
      <c r="C7" s="94" t="s">
        <v>45</v>
      </c>
      <c r="D7" s="95" t="s">
        <v>29</v>
      </c>
      <c r="E7" s="95">
        <v>8.9</v>
      </c>
      <c r="F7" s="95" t="s">
        <v>30</v>
      </c>
      <c r="G7" s="95" t="s">
        <v>31</v>
      </c>
      <c r="H7" s="95" t="s">
        <v>32</v>
      </c>
      <c r="I7" s="95" t="s">
        <v>33</v>
      </c>
      <c r="J7" s="95" t="s">
        <v>34</v>
      </c>
      <c r="K7" s="95" t="s">
        <v>46</v>
      </c>
      <c r="L7" s="95" t="s">
        <v>36</v>
      </c>
      <c r="M7" s="95">
        <v>10</v>
      </c>
      <c r="N7" s="95">
        <v>100</v>
      </c>
      <c r="O7" s="95">
        <v>300</v>
      </c>
      <c r="P7" s="95" t="s">
        <v>33</v>
      </c>
      <c r="Q7" s="95" t="s">
        <v>33</v>
      </c>
      <c r="R7" s="95" t="s">
        <v>33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</row>
    <row r="8" spans="1:29" hidden="1" x14ac:dyDescent="0.3">
      <c r="C8" s="94" t="s">
        <v>47</v>
      </c>
      <c r="D8" s="95" t="s">
        <v>29</v>
      </c>
      <c r="E8" s="95">
        <v>8.9</v>
      </c>
      <c r="F8" s="95" t="s">
        <v>30</v>
      </c>
      <c r="G8" s="95" t="s">
        <v>31</v>
      </c>
      <c r="H8" s="95" t="s">
        <v>32</v>
      </c>
      <c r="I8" s="95" t="s">
        <v>33</v>
      </c>
      <c r="J8" s="95" t="s">
        <v>34</v>
      </c>
      <c r="K8" s="95" t="s">
        <v>48</v>
      </c>
      <c r="L8" s="95" t="s">
        <v>36</v>
      </c>
      <c r="M8" s="95">
        <v>12</v>
      </c>
      <c r="N8" s="95">
        <v>80</v>
      </c>
      <c r="O8" s="95">
        <v>300</v>
      </c>
      <c r="P8" s="95" t="s">
        <v>33</v>
      </c>
      <c r="Q8" s="95" t="s">
        <v>33</v>
      </c>
      <c r="R8" s="95" t="s">
        <v>33</v>
      </c>
      <c r="S8" s="95" t="s">
        <v>33</v>
      </c>
      <c r="T8" s="95" t="s">
        <v>33</v>
      </c>
      <c r="U8" s="95" t="s">
        <v>33</v>
      </c>
      <c r="V8" s="95" t="s">
        <v>33</v>
      </c>
      <c r="W8" s="95" t="s">
        <v>33</v>
      </c>
      <c r="X8" s="95" t="s">
        <v>33</v>
      </c>
      <c r="Y8" s="95" t="s">
        <v>33</v>
      </c>
      <c r="Z8" s="95" t="s">
        <v>33</v>
      </c>
      <c r="AA8" s="95" t="s">
        <v>33</v>
      </c>
      <c r="AB8" s="95" t="s">
        <v>33</v>
      </c>
      <c r="AC8" s="95" t="s">
        <v>33</v>
      </c>
    </row>
    <row r="9" spans="1:29" hidden="1" x14ac:dyDescent="0.3">
      <c r="C9" s="94" t="s">
        <v>49</v>
      </c>
      <c r="D9" s="95" t="s">
        <v>29</v>
      </c>
      <c r="E9" s="95">
        <v>8.9</v>
      </c>
      <c r="F9" s="95" t="s">
        <v>30</v>
      </c>
      <c r="G9" s="95" t="s">
        <v>31</v>
      </c>
      <c r="H9" s="95" t="s">
        <v>32</v>
      </c>
      <c r="I9" s="95" t="s">
        <v>33</v>
      </c>
      <c r="J9" s="95" t="s">
        <v>34</v>
      </c>
      <c r="K9" s="95" t="s">
        <v>50</v>
      </c>
      <c r="L9" s="95" t="s">
        <v>36</v>
      </c>
      <c r="M9" s="95">
        <v>4</v>
      </c>
      <c r="N9" s="95">
        <v>80</v>
      </c>
      <c r="O9" s="95">
        <v>300</v>
      </c>
      <c r="P9" s="95" t="s">
        <v>33</v>
      </c>
      <c r="Q9" s="95" t="s">
        <v>33</v>
      </c>
      <c r="R9" s="95" t="s">
        <v>33</v>
      </c>
      <c r="S9" s="95" t="s">
        <v>33</v>
      </c>
      <c r="T9" s="95" t="s">
        <v>33</v>
      </c>
      <c r="U9" s="95" t="s">
        <v>33</v>
      </c>
      <c r="V9" s="95" t="s">
        <v>33</v>
      </c>
      <c r="W9" s="95" t="s">
        <v>33</v>
      </c>
      <c r="X9" s="95" t="s">
        <v>33</v>
      </c>
      <c r="Y9" s="95" t="s">
        <v>33</v>
      </c>
      <c r="Z9" s="95" t="s">
        <v>33</v>
      </c>
      <c r="AA9" s="95" t="s">
        <v>33</v>
      </c>
      <c r="AB9" s="95" t="s">
        <v>33</v>
      </c>
      <c r="AC9" s="95" t="s">
        <v>33</v>
      </c>
    </row>
    <row r="10" spans="1:29" hidden="1" x14ac:dyDescent="0.3">
      <c r="C10" s="94" t="s">
        <v>51</v>
      </c>
      <c r="D10" s="95" t="s">
        <v>29</v>
      </c>
      <c r="E10" s="95">
        <v>8.9</v>
      </c>
      <c r="F10" s="95" t="s">
        <v>30</v>
      </c>
      <c r="G10" s="95" t="s">
        <v>31</v>
      </c>
      <c r="H10" s="95" t="s">
        <v>32</v>
      </c>
      <c r="I10" s="95" t="s">
        <v>33</v>
      </c>
      <c r="J10" s="95" t="s">
        <v>34</v>
      </c>
      <c r="K10" s="95" t="s">
        <v>52</v>
      </c>
      <c r="L10" s="95" t="s">
        <v>36</v>
      </c>
      <c r="M10" s="95">
        <v>8</v>
      </c>
      <c r="N10" s="95">
        <v>80</v>
      </c>
      <c r="O10" s="95">
        <v>300</v>
      </c>
      <c r="P10" s="95" t="s">
        <v>33</v>
      </c>
      <c r="Q10" s="95" t="s">
        <v>33</v>
      </c>
      <c r="R10" s="95" t="s">
        <v>33</v>
      </c>
      <c r="S10" s="95" t="s">
        <v>33</v>
      </c>
      <c r="T10" s="95" t="s">
        <v>33</v>
      </c>
      <c r="U10" s="95" t="s">
        <v>33</v>
      </c>
      <c r="V10" s="95" t="s">
        <v>33</v>
      </c>
      <c r="W10" s="95" t="s">
        <v>33</v>
      </c>
      <c r="X10" s="95" t="s">
        <v>33</v>
      </c>
      <c r="Y10" s="95" t="s">
        <v>33</v>
      </c>
      <c r="Z10" s="95" t="s">
        <v>33</v>
      </c>
      <c r="AA10" s="95" t="s">
        <v>33</v>
      </c>
      <c r="AB10" s="95" t="s">
        <v>33</v>
      </c>
      <c r="AC10" s="95" t="s">
        <v>33</v>
      </c>
    </row>
    <row r="11" spans="1:29" hidden="1" x14ac:dyDescent="0.3">
      <c r="C11" s="94" t="s">
        <v>53</v>
      </c>
      <c r="D11" s="95" t="s">
        <v>29</v>
      </c>
      <c r="E11" s="95">
        <v>8.9</v>
      </c>
      <c r="F11" s="95" t="s">
        <v>30</v>
      </c>
      <c r="G11" s="95" t="s">
        <v>31</v>
      </c>
      <c r="H11" s="95" t="s">
        <v>32</v>
      </c>
      <c r="I11" s="95" t="s">
        <v>33</v>
      </c>
      <c r="J11" s="95" t="s">
        <v>34</v>
      </c>
      <c r="K11" s="95" t="s">
        <v>54</v>
      </c>
      <c r="L11" s="95" t="s">
        <v>36</v>
      </c>
      <c r="M11" s="95">
        <v>4</v>
      </c>
      <c r="N11" s="95">
        <v>80</v>
      </c>
      <c r="O11" s="95">
        <v>300</v>
      </c>
      <c r="P11" s="95" t="s">
        <v>33</v>
      </c>
      <c r="Q11" s="95" t="s">
        <v>33</v>
      </c>
      <c r="R11" s="95" t="s">
        <v>33</v>
      </c>
      <c r="S11" s="95" t="s">
        <v>33</v>
      </c>
      <c r="T11" s="95" t="s">
        <v>33</v>
      </c>
      <c r="U11" s="95" t="s">
        <v>33</v>
      </c>
      <c r="V11" s="95" t="s">
        <v>33</v>
      </c>
      <c r="W11" s="95" t="s">
        <v>33</v>
      </c>
      <c r="X11" s="95" t="s">
        <v>33</v>
      </c>
      <c r="Y11" s="95" t="s">
        <v>33</v>
      </c>
      <c r="Z11" s="95" t="s">
        <v>33</v>
      </c>
      <c r="AA11" s="95" t="s">
        <v>33</v>
      </c>
      <c r="AB11" s="95" t="s">
        <v>33</v>
      </c>
      <c r="AC11" s="95" t="s">
        <v>33</v>
      </c>
    </row>
    <row r="12" spans="1:29" hidden="1" x14ac:dyDescent="0.3">
      <c r="C12" s="94" t="s">
        <v>55</v>
      </c>
      <c r="D12" s="95" t="s">
        <v>29</v>
      </c>
      <c r="E12" s="95">
        <v>8.9</v>
      </c>
      <c r="F12" s="95" t="s">
        <v>30</v>
      </c>
      <c r="G12" s="95" t="s">
        <v>31</v>
      </c>
      <c r="H12" s="95" t="s">
        <v>32</v>
      </c>
      <c r="I12" s="95" t="s">
        <v>33</v>
      </c>
      <c r="J12" s="95" t="s">
        <v>34</v>
      </c>
      <c r="K12" s="95" t="s">
        <v>56</v>
      </c>
      <c r="L12" s="95" t="s">
        <v>36</v>
      </c>
      <c r="M12" s="95">
        <v>8</v>
      </c>
      <c r="N12" s="95">
        <v>80</v>
      </c>
      <c r="O12" s="95">
        <v>300</v>
      </c>
      <c r="P12" s="95" t="s">
        <v>33</v>
      </c>
      <c r="Q12" s="95" t="s">
        <v>33</v>
      </c>
      <c r="R12" s="95" t="s">
        <v>33</v>
      </c>
      <c r="S12" s="95" t="s">
        <v>33</v>
      </c>
      <c r="T12" s="95" t="s">
        <v>33</v>
      </c>
      <c r="U12" s="95" t="s">
        <v>33</v>
      </c>
      <c r="V12" s="95" t="s">
        <v>33</v>
      </c>
      <c r="W12" s="95" t="s">
        <v>33</v>
      </c>
      <c r="X12" s="95" t="s">
        <v>33</v>
      </c>
      <c r="Y12" s="95" t="s">
        <v>33</v>
      </c>
      <c r="Z12" s="95" t="s">
        <v>33</v>
      </c>
      <c r="AA12" s="95" t="s">
        <v>33</v>
      </c>
      <c r="AB12" s="95" t="s">
        <v>33</v>
      </c>
      <c r="AC12" s="95" t="s">
        <v>33</v>
      </c>
    </row>
    <row r="13" spans="1:29" hidden="1" x14ac:dyDescent="0.3">
      <c r="C13" s="94" t="s">
        <v>57</v>
      </c>
      <c r="D13" s="95" t="s">
        <v>29</v>
      </c>
      <c r="E13" s="95">
        <v>8.9</v>
      </c>
      <c r="F13" s="95" t="s">
        <v>30</v>
      </c>
      <c r="G13" s="95" t="s">
        <v>31</v>
      </c>
      <c r="H13" s="95" t="s">
        <v>32</v>
      </c>
      <c r="I13" s="95" t="s">
        <v>33</v>
      </c>
      <c r="J13" s="95" t="s">
        <v>34</v>
      </c>
      <c r="K13" s="95" t="s">
        <v>58</v>
      </c>
      <c r="L13" s="95" t="s">
        <v>36</v>
      </c>
      <c r="M13" s="95">
        <v>4</v>
      </c>
      <c r="N13" s="95">
        <v>80</v>
      </c>
      <c r="O13" s="95">
        <v>300</v>
      </c>
      <c r="P13" s="95" t="s">
        <v>33</v>
      </c>
      <c r="Q13" s="95" t="s">
        <v>33</v>
      </c>
      <c r="R13" s="95" t="s">
        <v>33</v>
      </c>
      <c r="S13" s="95" t="s">
        <v>33</v>
      </c>
      <c r="T13" s="95" t="s">
        <v>33</v>
      </c>
      <c r="U13" s="95" t="s">
        <v>33</v>
      </c>
      <c r="V13" s="95" t="s">
        <v>33</v>
      </c>
      <c r="W13" s="95" t="s">
        <v>33</v>
      </c>
      <c r="X13" s="95" t="s">
        <v>33</v>
      </c>
      <c r="Y13" s="95" t="s">
        <v>33</v>
      </c>
      <c r="Z13" s="95" t="s">
        <v>33</v>
      </c>
      <c r="AA13" s="95" t="s">
        <v>33</v>
      </c>
      <c r="AB13" s="95" t="s">
        <v>33</v>
      </c>
      <c r="AC13" s="95" t="s">
        <v>33</v>
      </c>
    </row>
    <row r="14" spans="1:29" hidden="1" x14ac:dyDescent="0.3">
      <c r="C14" s="94" t="s">
        <v>59</v>
      </c>
      <c r="D14" s="95" t="s">
        <v>29</v>
      </c>
      <c r="E14" s="95">
        <v>8.9</v>
      </c>
      <c r="F14" s="95" t="s">
        <v>30</v>
      </c>
      <c r="G14" s="95" t="s">
        <v>31</v>
      </c>
      <c r="H14" s="95" t="s">
        <v>32</v>
      </c>
      <c r="I14" s="95" t="s">
        <v>33</v>
      </c>
      <c r="J14" s="95" t="s">
        <v>34</v>
      </c>
      <c r="K14" s="95" t="s">
        <v>60</v>
      </c>
      <c r="L14" s="95" t="s">
        <v>36</v>
      </c>
      <c r="M14" s="95">
        <v>4</v>
      </c>
      <c r="N14" s="95">
        <v>40</v>
      </c>
      <c r="O14" s="95">
        <v>300</v>
      </c>
      <c r="P14" s="95" t="s">
        <v>33</v>
      </c>
      <c r="Q14" s="95" t="s">
        <v>33</v>
      </c>
      <c r="R14" s="95" t="s">
        <v>33</v>
      </c>
      <c r="S14" s="95" t="s">
        <v>33</v>
      </c>
      <c r="T14" s="95" t="s">
        <v>33</v>
      </c>
      <c r="U14" s="95" t="s">
        <v>33</v>
      </c>
      <c r="V14" s="95" t="s">
        <v>33</v>
      </c>
      <c r="W14" s="95" t="s">
        <v>33</v>
      </c>
      <c r="X14" s="95" t="s">
        <v>33</v>
      </c>
      <c r="Y14" s="95" t="s">
        <v>33</v>
      </c>
      <c r="Z14" s="95" t="s">
        <v>33</v>
      </c>
      <c r="AA14" s="95" t="s">
        <v>33</v>
      </c>
      <c r="AB14" s="95" t="s">
        <v>33</v>
      </c>
      <c r="AC14" s="95" t="s">
        <v>33</v>
      </c>
    </row>
    <row r="15" spans="1:29" hidden="1" x14ac:dyDescent="0.3">
      <c r="C15" s="94" t="s">
        <v>61</v>
      </c>
      <c r="D15" s="95" t="s">
        <v>29</v>
      </c>
      <c r="E15" s="95">
        <v>8.9</v>
      </c>
      <c r="F15" s="95" t="s">
        <v>30</v>
      </c>
      <c r="G15" s="95" t="s">
        <v>31</v>
      </c>
      <c r="H15" s="95" t="s">
        <v>32</v>
      </c>
      <c r="I15" s="95" t="s">
        <v>33</v>
      </c>
      <c r="J15" s="95" t="s">
        <v>34</v>
      </c>
      <c r="K15" s="95" t="s">
        <v>62</v>
      </c>
      <c r="L15" s="95" t="s">
        <v>36</v>
      </c>
      <c r="M15" s="95">
        <v>2</v>
      </c>
      <c r="N15" s="95">
        <v>40</v>
      </c>
      <c r="O15" s="95">
        <v>300</v>
      </c>
      <c r="P15" s="95" t="s">
        <v>33</v>
      </c>
      <c r="Q15" s="95" t="s">
        <v>33</v>
      </c>
      <c r="R15" s="95" t="s">
        <v>33</v>
      </c>
      <c r="S15" s="95" t="s">
        <v>33</v>
      </c>
      <c r="T15" s="95" t="s">
        <v>33</v>
      </c>
      <c r="U15" s="95" t="s">
        <v>33</v>
      </c>
      <c r="V15" s="95" t="s">
        <v>33</v>
      </c>
      <c r="W15" s="95" t="s">
        <v>33</v>
      </c>
      <c r="X15" s="95" t="s">
        <v>33</v>
      </c>
      <c r="Y15" s="95" t="s">
        <v>33</v>
      </c>
      <c r="Z15" s="95" t="s">
        <v>33</v>
      </c>
      <c r="AA15" s="95" t="s">
        <v>33</v>
      </c>
      <c r="AB15" s="95" t="s">
        <v>33</v>
      </c>
      <c r="AC15" s="95" t="s">
        <v>33</v>
      </c>
    </row>
    <row r="16" spans="1:29" hidden="1" x14ac:dyDescent="0.3">
      <c r="C16" s="94" t="s">
        <v>63</v>
      </c>
      <c r="D16" s="95" t="s">
        <v>29</v>
      </c>
      <c r="E16" s="95">
        <v>8.9</v>
      </c>
      <c r="F16" s="95" t="s">
        <v>30</v>
      </c>
      <c r="G16" s="95" t="s">
        <v>31</v>
      </c>
      <c r="H16" s="95" t="s">
        <v>32</v>
      </c>
      <c r="I16" s="95" t="s">
        <v>33</v>
      </c>
      <c r="J16" s="95" t="s">
        <v>34</v>
      </c>
      <c r="K16" s="95" t="s">
        <v>64</v>
      </c>
      <c r="L16" s="95" t="s">
        <v>36</v>
      </c>
      <c r="M16" s="95">
        <v>6</v>
      </c>
      <c r="N16" s="95">
        <v>60</v>
      </c>
      <c r="O16" s="95">
        <v>300</v>
      </c>
      <c r="P16" s="95" t="s">
        <v>33</v>
      </c>
      <c r="Q16" s="95" t="s">
        <v>33</v>
      </c>
      <c r="R16" s="95" t="s">
        <v>33</v>
      </c>
      <c r="S16" s="95" t="s">
        <v>33</v>
      </c>
      <c r="T16" s="95" t="s">
        <v>33</v>
      </c>
      <c r="U16" s="95" t="s">
        <v>33</v>
      </c>
      <c r="V16" s="95" t="s">
        <v>33</v>
      </c>
      <c r="W16" s="95" t="s">
        <v>33</v>
      </c>
      <c r="X16" s="95" t="s">
        <v>33</v>
      </c>
      <c r="Y16" s="95" t="s">
        <v>33</v>
      </c>
      <c r="Z16" s="95" t="s">
        <v>33</v>
      </c>
      <c r="AA16" s="95" t="s">
        <v>33</v>
      </c>
      <c r="AB16" s="95" t="s">
        <v>33</v>
      </c>
      <c r="AC16" s="95" t="s">
        <v>33</v>
      </c>
    </row>
    <row r="17" spans="3:29" hidden="1" x14ac:dyDescent="0.3">
      <c r="C17" s="94" t="s">
        <v>65</v>
      </c>
      <c r="D17" s="95" t="s">
        <v>29</v>
      </c>
      <c r="E17" s="95">
        <v>8.9</v>
      </c>
      <c r="F17" s="95" t="s">
        <v>30</v>
      </c>
      <c r="G17" s="95" t="s">
        <v>31</v>
      </c>
      <c r="H17" s="95" t="s">
        <v>32</v>
      </c>
      <c r="I17" s="95" t="s">
        <v>33</v>
      </c>
      <c r="J17" s="95" t="s">
        <v>34</v>
      </c>
      <c r="K17" s="95" t="s">
        <v>66</v>
      </c>
      <c r="L17" s="95" t="s">
        <v>36</v>
      </c>
      <c r="M17" s="95">
        <v>2</v>
      </c>
      <c r="N17" s="95">
        <v>60</v>
      </c>
      <c r="O17" s="95">
        <v>300</v>
      </c>
      <c r="P17" s="95" t="s">
        <v>33</v>
      </c>
      <c r="Q17" s="95" t="s">
        <v>33</v>
      </c>
      <c r="R17" s="95" t="s">
        <v>33</v>
      </c>
      <c r="S17" s="95" t="s">
        <v>33</v>
      </c>
      <c r="T17" s="95" t="s">
        <v>33</v>
      </c>
      <c r="U17" s="95" t="s">
        <v>33</v>
      </c>
      <c r="V17" s="95" t="s">
        <v>33</v>
      </c>
      <c r="W17" s="95" t="s">
        <v>33</v>
      </c>
      <c r="X17" s="95" t="s">
        <v>33</v>
      </c>
      <c r="Y17" s="95" t="s">
        <v>33</v>
      </c>
      <c r="Z17" s="95" t="s">
        <v>33</v>
      </c>
      <c r="AA17" s="95" t="s">
        <v>33</v>
      </c>
      <c r="AB17" s="95" t="s">
        <v>33</v>
      </c>
      <c r="AC17" s="95" t="s">
        <v>33</v>
      </c>
    </row>
    <row r="18" spans="3:29" hidden="1" x14ac:dyDescent="0.3">
      <c r="C18" s="94" t="s">
        <v>67</v>
      </c>
      <c r="D18" s="95" t="s">
        <v>29</v>
      </c>
      <c r="E18" s="95">
        <v>8.9</v>
      </c>
      <c r="F18" s="95" t="s">
        <v>30</v>
      </c>
      <c r="G18" s="95" t="s">
        <v>31</v>
      </c>
      <c r="H18" s="95" t="s">
        <v>32</v>
      </c>
      <c r="I18" s="95" t="s">
        <v>33</v>
      </c>
      <c r="J18" s="95" t="s">
        <v>34</v>
      </c>
      <c r="K18" s="95" t="s">
        <v>68</v>
      </c>
      <c r="L18" s="95" t="s">
        <v>36</v>
      </c>
      <c r="M18" s="95">
        <v>4</v>
      </c>
      <c r="N18" s="95">
        <v>40</v>
      </c>
      <c r="O18" s="95">
        <v>300</v>
      </c>
      <c r="P18" s="95" t="s">
        <v>33</v>
      </c>
      <c r="Q18" s="95" t="s">
        <v>33</v>
      </c>
      <c r="R18" s="95" t="s">
        <v>33</v>
      </c>
      <c r="S18" s="95" t="s">
        <v>33</v>
      </c>
      <c r="T18" s="95" t="s">
        <v>33</v>
      </c>
      <c r="U18" s="95" t="s">
        <v>33</v>
      </c>
      <c r="V18" s="95" t="s">
        <v>33</v>
      </c>
      <c r="W18" s="95" t="s">
        <v>33</v>
      </c>
      <c r="X18" s="95" t="s">
        <v>33</v>
      </c>
      <c r="Y18" s="95" t="s">
        <v>33</v>
      </c>
      <c r="Z18" s="95" t="s">
        <v>33</v>
      </c>
      <c r="AA18" s="95" t="s">
        <v>33</v>
      </c>
      <c r="AB18" s="95" t="s">
        <v>33</v>
      </c>
      <c r="AC18" s="95" t="s">
        <v>33</v>
      </c>
    </row>
    <row r="19" spans="3:29" hidden="1" x14ac:dyDescent="0.3">
      <c r="C19" s="94" t="s">
        <v>69</v>
      </c>
      <c r="D19" s="95" t="s">
        <v>29</v>
      </c>
      <c r="E19" s="95">
        <v>8.9</v>
      </c>
      <c r="F19" s="95" t="s">
        <v>30</v>
      </c>
      <c r="G19" s="95" t="s">
        <v>31</v>
      </c>
      <c r="H19" s="95" t="s">
        <v>32</v>
      </c>
      <c r="I19" s="95" t="s">
        <v>33</v>
      </c>
      <c r="J19" s="95" t="s">
        <v>34</v>
      </c>
      <c r="K19" s="95" t="s">
        <v>70</v>
      </c>
      <c r="L19" s="95" t="s">
        <v>36</v>
      </c>
      <c r="M19" s="95">
        <v>2</v>
      </c>
      <c r="N19" s="95">
        <v>40</v>
      </c>
      <c r="O19" s="95">
        <v>300</v>
      </c>
      <c r="P19" s="95" t="s">
        <v>33</v>
      </c>
      <c r="Q19" s="95" t="s">
        <v>33</v>
      </c>
      <c r="R19" s="95" t="s">
        <v>33</v>
      </c>
      <c r="S19" s="95" t="s">
        <v>33</v>
      </c>
      <c r="T19" s="95" t="s">
        <v>33</v>
      </c>
      <c r="U19" s="95" t="s">
        <v>33</v>
      </c>
      <c r="V19" s="95" t="s">
        <v>33</v>
      </c>
      <c r="W19" s="95" t="s">
        <v>33</v>
      </c>
      <c r="X19" s="95" t="s">
        <v>33</v>
      </c>
      <c r="Y19" s="95" t="s">
        <v>33</v>
      </c>
      <c r="Z19" s="95" t="s">
        <v>33</v>
      </c>
      <c r="AA19" s="95" t="s">
        <v>33</v>
      </c>
      <c r="AB19" s="95" t="s">
        <v>33</v>
      </c>
      <c r="AC19" s="95" t="s">
        <v>33</v>
      </c>
    </row>
    <row r="20" spans="3:29" ht="30" x14ac:dyDescent="0.3">
      <c r="C20" s="109" t="s">
        <v>71</v>
      </c>
      <c r="D20" s="109" t="s">
        <v>29</v>
      </c>
      <c r="E20" s="107">
        <v>9</v>
      </c>
      <c r="F20" s="95" t="s">
        <v>30</v>
      </c>
      <c r="G20" s="66" t="s">
        <v>72</v>
      </c>
      <c r="H20" s="66" t="s">
        <v>73</v>
      </c>
      <c r="I20" s="66"/>
      <c r="J20" s="66" t="s">
        <v>74</v>
      </c>
      <c r="K20" s="111" t="s">
        <v>75</v>
      </c>
      <c r="L20" s="109" t="s">
        <v>76</v>
      </c>
      <c r="M20" s="111">
        <v>8</v>
      </c>
      <c r="N20" s="112">
        <v>16</v>
      </c>
      <c r="O20" s="113">
        <v>800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3:29" ht="30" x14ac:dyDescent="0.3">
      <c r="C21" s="110" t="s">
        <v>77</v>
      </c>
      <c r="D21" s="110" t="s">
        <v>29</v>
      </c>
      <c r="E21" s="107">
        <v>9</v>
      </c>
      <c r="F21" s="95" t="s">
        <v>30</v>
      </c>
      <c r="G21" s="66" t="s">
        <v>72</v>
      </c>
      <c r="H21" s="66" t="s">
        <v>73</v>
      </c>
      <c r="I21" s="66"/>
      <c r="J21" s="66" t="s">
        <v>74</v>
      </c>
      <c r="K21" s="114" t="s">
        <v>75</v>
      </c>
      <c r="L21" s="110" t="s">
        <v>78</v>
      </c>
      <c r="M21" s="114">
        <v>8</v>
      </c>
      <c r="N21" s="115">
        <v>20</v>
      </c>
      <c r="O21" s="116">
        <v>800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3:29" ht="30" x14ac:dyDescent="0.3">
      <c r="C22" s="110" t="s">
        <v>79</v>
      </c>
      <c r="D22" s="110" t="s">
        <v>80</v>
      </c>
      <c r="E22" s="108">
        <v>2022</v>
      </c>
      <c r="F22" s="95" t="s">
        <v>30</v>
      </c>
      <c r="G22" s="66" t="s">
        <v>72</v>
      </c>
      <c r="H22" s="66" t="s">
        <v>73</v>
      </c>
      <c r="I22" s="66"/>
      <c r="J22" s="66" t="s">
        <v>74</v>
      </c>
      <c r="K22" s="114" t="s">
        <v>81</v>
      </c>
      <c r="L22" s="114" t="s">
        <v>82</v>
      </c>
      <c r="M22" s="114">
        <v>8</v>
      </c>
      <c r="N22" s="115">
        <v>36</v>
      </c>
      <c r="O22" s="116">
        <v>300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3:29" x14ac:dyDescent="0.3">
      <c r="C23" s="110" t="s">
        <v>83</v>
      </c>
      <c r="D23" s="110" t="s">
        <v>29</v>
      </c>
      <c r="E23" s="107">
        <v>9</v>
      </c>
      <c r="F23" s="95" t="s">
        <v>30</v>
      </c>
      <c r="G23" s="66" t="s">
        <v>72</v>
      </c>
      <c r="H23" s="66" t="s">
        <v>73</v>
      </c>
      <c r="I23" s="66"/>
      <c r="J23" s="66" t="s">
        <v>74</v>
      </c>
      <c r="K23" s="114" t="s">
        <v>84</v>
      </c>
      <c r="L23" s="114" t="s">
        <v>85</v>
      </c>
      <c r="M23" s="114">
        <v>8</v>
      </c>
      <c r="N23" s="115">
        <v>20</v>
      </c>
      <c r="O23" s="116">
        <v>300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3:29" x14ac:dyDescent="0.3">
      <c r="C24" s="110" t="s">
        <v>86</v>
      </c>
      <c r="D24" s="110" t="s">
        <v>29</v>
      </c>
      <c r="E24" s="107">
        <v>9</v>
      </c>
      <c r="F24" s="95" t="s">
        <v>30</v>
      </c>
      <c r="G24" s="66" t="s">
        <v>72</v>
      </c>
      <c r="H24" s="66" t="s">
        <v>73</v>
      </c>
      <c r="I24" s="66"/>
      <c r="J24" s="66" t="s">
        <v>74</v>
      </c>
      <c r="K24" s="114" t="s">
        <v>87</v>
      </c>
      <c r="L24" s="110" t="s">
        <v>88</v>
      </c>
      <c r="M24" s="114">
        <v>24</v>
      </c>
      <c r="N24" s="115">
        <v>48</v>
      </c>
      <c r="O24" s="116">
        <v>1500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3:29" x14ac:dyDescent="0.3">
      <c r="C25" s="110" t="s">
        <v>89</v>
      </c>
      <c r="D25" s="110" t="s">
        <v>29</v>
      </c>
      <c r="E25" s="107">
        <v>9</v>
      </c>
      <c r="F25" s="95" t="s">
        <v>30</v>
      </c>
      <c r="G25" s="66" t="s">
        <v>72</v>
      </c>
      <c r="H25" s="66" t="s">
        <v>73</v>
      </c>
      <c r="I25" s="66"/>
      <c r="J25" s="66" t="s">
        <v>74</v>
      </c>
      <c r="K25" s="114" t="s">
        <v>87</v>
      </c>
      <c r="L25" s="110" t="s">
        <v>90</v>
      </c>
      <c r="M25" s="114">
        <v>8</v>
      </c>
      <c r="N25" s="115">
        <v>64</v>
      </c>
      <c r="O25" s="116">
        <v>1000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3:29" ht="30" x14ac:dyDescent="0.3">
      <c r="C26" s="110" t="s">
        <v>91</v>
      </c>
      <c r="D26" s="110" t="s">
        <v>29</v>
      </c>
      <c r="E26" s="107">
        <v>9</v>
      </c>
      <c r="F26" s="95" t="s">
        <v>30</v>
      </c>
      <c r="G26" s="66" t="s">
        <v>72</v>
      </c>
      <c r="H26" s="66" t="s">
        <v>73</v>
      </c>
      <c r="I26" s="66"/>
      <c r="J26" s="66" t="s">
        <v>74</v>
      </c>
      <c r="K26" s="114" t="s">
        <v>92</v>
      </c>
      <c r="L26" s="110" t="s">
        <v>93</v>
      </c>
      <c r="M26" s="110">
        <v>8</v>
      </c>
      <c r="N26" s="116">
        <v>32</v>
      </c>
      <c r="O26" s="116">
        <v>1000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3:29" x14ac:dyDescent="0.3">
      <c r="C27" s="110" t="s">
        <v>94</v>
      </c>
      <c r="D27" s="110" t="s">
        <v>80</v>
      </c>
      <c r="E27" s="108">
        <v>2022</v>
      </c>
      <c r="F27" s="95" t="s">
        <v>30</v>
      </c>
      <c r="G27" s="66" t="s">
        <v>72</v>
      </c>
      <c r="H27" s="66" t="s">
        <v>95</v>
      </c>
      <c r="I27" s="66"/>
      <c r="J27" s="66" t="s">
        <v>74</v>
      </c>
      <c r="K27" s="114" t="s">
        <v>96</v>
      </c>
      <c r="L27" s="110" t="s">
        <v>97</v>
      </c>
      <c r="M27" s="110">
        <v>16</v>
      </c>
      <c r="N27" s="116">
        <v>24</v>
      </c>
      <c r="O27" s="116">
        <v>300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3:29" x14ac:dyDescent="0.3">
      <c r="C28" s="110" t="s">
        <v>98</v>
      </c>
      <c r="D28" s="110" t="s">
        <v>29</v>
      </c>
      <c r="E28" s="107">
        <v>9</v>
      </c>
      <c r="F28" s="95" t="s">
        <v>30</v>
      </c>
      <c r="G28" s="66" t="s">
        <v>72</v>
      </c>
      <c r="H28" s="66" t="s">
        <v>99</v>
      </c>
      <c r="I28" s="66"/>
      <c r="J28" s="66" t="s">
        <v>74</v>
      </c>
      <c r="K28" s="114" t="s">
        <v>100</v>
      </c>
      <c r="L28" s="110" t="s">
        <v>101</v>
      </c>
      <c r="M28" s="114">
        <v>12</v>
      </c>
      <c r="N28" s="115">
        <v>30</v>
      </c>
      <c r="O28" s="116">
        <v>300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3:29" x14ac:dyDescent="0.3">
      <c r="C29" s="110" t="s">
        <v>102</v>
      </c>
      <c r="D29" s="110" t="s">
        <v>29</v>
      </c>
      <c r="E29" s="107">
        <v>9</v>
      </c>
      <c r="F29" s="95" t="s">
        <v>30</v>
      </c>
      <c r="G29" s="66" t="s">
        <v>72</v>
      </c>
      <c r="H29" s="66" t="s">
        <v>99</v>
      </c>
      <c r="I29" s="66"/>
      <c r="J29" s="66" t="s">
        <v>74</v>
      </c>
      <c r="K29" s="114" t="s">
        <v>100</v>
      </c>
      <c r="L29" s="110" t="s">
        <v>103</v>
      </c>
      <c r="M29" s="114">
        <v>8</v>
      </c>
      <c r="N29" s="115">
        <v>24</v>
      </c>
      <c r="O29" s="116">
        <v>300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spans="3:29" x14ac:dyDescent="0.3">
      <c r="C30" s="110" t="s">
        <v>104</v>
      </c>
      <c r="D30" s="110" t="s">
        <v>29</v>
      </c>
      <c r="E30" s="107">
        <v>9</v>
      </c>
      <c r="F30" s="95" t="s">
        <v>30</v>
      </c>
      <c r="G30" s="66" t="s">
        <v>72</v>
      </c>
      <c r="H30" s="66" t="s">
        <v>99</v>
      </c>
      <c r="I30" s="66"/>
      <c r="J30" s="66" t="s">
        <v>74</v>
      </c>
      <c r="K30" s="114" t="s">
        <v>100</v>
      </c>
      <c r="L30" s="110" t="s">
        <v>105</v>
      </c>
      <c r="M30" s="114">
        <v>8</v>
      </c>
      <c r="N30" s="115">
        <v>16</v>
      </c>
      <c r="O30" s="116">
        <v>300</v>
      </c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spans="3:29" ht="30" x14ac:dyDescent="0.3">
      <c r="C31" s="110" t="s">
        <v>106</v>
      </c>
      <c r="D31" s="110" t="s">
        <v>29</v>
      </c>
      <c r="E31" s="107">
        <v>9</v>
      </c>
      <c r="F31" s="95" t="s">
        <v>30</v>
      </c>
      <c r="G31" s="66" t="s">
        <v>107</v>
      </c>
      <c r="H31" s="66" t="s">
        <v>73</v>
      </c>
      <c r="I31" s="66"/>
      <c r="J31" s="66" t="s">
        <v>74</v>
      </c>
      <c r="K31" s="114" t="s">
        <v>75</v>
      </c>
      <c r="L31" s="110" t="s">
        <v>108</v>
      </c>
      <c r="M31" s="114">
        <v>8</v>
      </c>
      <c r="N31" s="115">
        <v>24</v>
      </c>
      <c r="O31" s="116">
        <v>800</v>
      </c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spans="3:29" ht="30" x14ac:dyDescent="0.3">
      <c r="C32" s="110" t="s">
        <v>109</v>
      </c>
      <c r="D32" s="110" t="s">
        <v>80</v>
      </c>
      <c r="E32" s="108">
        <v>2022</v>
      </c>
      <c r="F32" s="95" t="s">
        <v>30</v>
      </c>
      <c r="G32" s="66" t="s">
        <v>107</v>
      </c>
      <c r="H32" s="66" t="s">
        <v>73</v>
      </c>
      <c r="I32" s="66"/>
      <c r="J32" s="66" t="s">
        <v>74</v>
      </c>
      <c r="K32" s="114" t="s">
        <v>81</v>
      </c>
      <c r="L32" s="114" t="s">
        <v>82</v>
      </c>
      <c r="M32" s="114">
        <v>8</v>
      </c>
      <c r="N32" s="115">
        <v>36</v>
      </c>
      <c r="O32" s="116">
        <v>300</v>
      </c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spans="1:30" x14ac:dyDescent="0.3">
      <c r="C33" s="110" t="s">
        <v>110</v>
      </c>
      <c r="D33" s="110" t="s">
        <v>29</v>
      </c>
      <c r="E33" s="107">
        <v>9</v>
      </c>
      <c r="F33" s="95" t="s">
        <v>30</v>
      </c>
      <c r="G33" s="66" t="s">
        <v>107</v>
      </c>
      <c r="H33" s="66" t="s">
        <v>73</v>
      </c>
      <c r="I33" s="66"/>
      <c r="J33" s="66" t="s">
        <v>74</v>
      </c>
      <c r="K33" s="114" t="s">
        <v>84</v>
      </c>
      <c r="L33" s="114" t="s">
        <v>85</v>
      </c>
      <c r="M33" s="114">
        <v>8</v>
      </c>
      <c r="N33" s="115">
        <v>20</v>
      </c>
      <c r="O33" s="116">
        <v>300</v>
      </c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spans="1:30" x14ac:dyDescent="0.3">
      <c r="C34" s="110" t="s">
        <v>111</v>
      </c>
      <c r="D34" s="110" t="s">
        <v>29</v>
      </c>
      <c r="E34" s="107">
        <v>9</v>
      </c>
      <c r="F34" s="95" t="s">
        <v>30</v>
      </c>
      <c r="G34" s="66" t="s">
        <v>107</v>
      </c>
      <c r="H34" s="66" t="s">
        <v>73</v>
      </c>
      <c r="I34" s="66"/>
      <c r="J34" s="66" t="s">
        <v>74</v>
      </c>
      <c r="K34" s="114" t="s">
        <v>87</v>
      </c>
      <c r="L34" s="110" t="s">
        <v>88</v>
      </c>
      <c r="M34" s="114">
        <v>24</v>
      </c>
      <c r="N34" s="115">
        <v>48</v>
      </c>
      <c r="O34" s="116">
        <v>1200</v>
      </c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spans="1:30" x14ac:dyDescent="0.3">
      <c r="C35" s="110" t="s">
        <v>112</v>
      </c>
      <c r="D35" s="110" t="s">
        <v>29</v>
      </c>
      <c r="E35" s="107">
        <v>9</v>
      </c>
      <c r="F35" s="95" t="s">
        <v>30</v>
      </c>
      <c r="G35" s="66" t="s">
        <v>107</v>
      </c>
      <c r="H35" s="66" t="s">
        <v>73</v>
      </c>
      <c r="I35" s="66"/>
      <c r="J35" s="66" t="s">
        <v>74</v>
      </c>
      <c r="K35" s="114" t="s">
        <v>87</v>
      </c>
      <c r="L35" s="110" t="s">
        <v>90</v>
      </c>
      <c r="M35" s="114">
        <v>8</v>
      </c>
      <c r="N35" s="115">
        <v>48</v>
      </c>
      <c r="O35" s="116">
        <v>1000</v>
      </c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spans="1:30" x14ac:dyDescent="0.3">
      <c r="C36" s="110" t="s">
        <v>113</v>
      </c>
      <c r="D36" s="110" t="s">
        <v>29</v>
      </c>
      <c r="E36" s="107">
        <v>9</v>
      </c>
      <c r="F36" s="95" t="s">
        <v>30</v>
      </c>
      <c r="G36" s="66" t="s">
        <v>107</v>
      </c>
      <c r="H36" s="66" t="s">
        <v>99</v>
      </c>
      <c r="I36" s="66"/>
      <c r="J36" s="66" t="s">
        <v>74</v>
      </c>
      <c r="K36" s="114" t="s">
        <v>100</v>
      </c>
      <c r="L36" s="110" t="s">
        <v>101</v>
      </c>
      <c r="M36" s="114">
        <v>12</v>
      </c>
      <c r="N36" s="115">
        <v>30</v>
      </c>
      <c r="O36" s="116">
        <v>300</v>
      </c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spans="1:30" x14ac:dyDescent="0.3">
      <c r="C37" s="110" t="s">
        <v>114</v>
      </c>
      <c r="D37" s="110" t="s">
        <v>29</v>
      </c>
      <c r="E37" s="107">
        <v>9</v>
      </c>
      <c r="F37" s="95" t="s">
        <v>30</v>
      </c>
      <c r="G37" s="66" t="s">
        <v>107</v>
      </c>
      <c r="H37" s="66" t="s">
        <v>99</v>
      </c>
      <c r="I37" s="66"/>
      <c r="J37" s="66" t="s">
        <v>74</v>
      </c>
      <c r="K37" s="114" t="s">
        <v>100</v>
      </c>
      <c r="L37" s="110" t="s">
        <v>103</v>
      </c>
      <c r="M37" s="114">
        <v>8</v>
      </c>
      <c r="N37" s="115">
        <v>24</v>
      </c>
      <c r="O37" s="116">
        <v>300</v>
      </c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spans="1:30" x14ac:dyDescent="0.3">
      <c r="C38" s="110" t="s">
        <v>115</v>
      </c>
      <c r="D38" s="110" t="s">
        <v>29</v>
      </c>
      <c r="E38" s="107">
        <v>9</v>
      </c>
      <c r="F38" s="95" t="s">
        <v>30</v>
      </c>
      <c r="G38" s="66" t="s">
        <v>107</v>
      </c>
      <c r="H38" s="66" t="s">
        <v>99</v>
      </c>
      <c r="I38" s="66"/>
      <c r="J38" s="66" t="s">
        <v>74</v>
      </c>
      <c r="K38" s="114" t="s">
        <v>100</v>
      </c>
      <c r="L38" s="110" t="s">
        <v>105</v>
      </c>
      <c r="M38" s="114">
        <v>8</v>
      </c>
      <c r="N38" s="115">
        <v>16</v>
      </c>
      <c r="O38" s="116">
        <v>300</v>
      </c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spans="1:30" x14ac:dyDescent="0.3">
      <c r="C39" s="66" t="s">
        <v>116</v>
      </c>
      <c r="D39" s="66" t="s">
        <v>117</v>
      </c>
      <c r="E39" s="107">
        <v>9</v>
      </c>
      <c r="F39" s="95" t="s">
        <v>30</v>
      </c>
      <c r="G39" s="66" t="s">
        <v>107</v>
      </c>
      <c r="H39" s="66" t="s">
        <v>118</v>
      </c>
      <c r="I39" s="66"/>
      <c r="J39" s="66" t="s">
        <v>119</v>
      </c>
      <c r="K39" s="66" t="s">
        <v>120</v>
      </c>
      <c r="L39" s="117" t="s">
        <v>121</v>
      </c>
      <c r="M39" s="108">
        <v>8</v>
      </c>
      <c r="N39" s="108">
        <v>32</v>
      </c>
      <c r="O39" s="108">
        <v>500</v>
      </c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spans="1:30" x14ac:dyDescent="0.3">
      <c r="C40" s="66" t="s">
        <v>122</v>
      </c>
      <c r="D40" s="66" t="s">
        <v>117</v>
      </c>
      <c r="E40" s="107">
        <v>9</v>
      </c>
      <c r="F40" s="95" t="s">
        <v>30</v>
      </c>
      <c r="G40" s="66" t="s">
        <v>107</v>
      </c>
      <c r="H40" s="66" t="s">
        <v>118</v>
      </c>
      <c r="I40" s="66"/>
      <c r="J40" s="66" t="s">
        <v>119</v>
      </c>
      <c r="K40" s="66" t="s">
        <v>123</v>
      </c>
      <c r="L40" s="117" t="s">
        <v>121</v>
      </c>
      <c r="M40" s="108">
        <v>4</v>
      </c>
      <c r="N40" s="108">
        <v>32</v>
      </c>
      <c r="O40" s="108">
        <v>300</v>
      </c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spans="1:30" x14ac:dyDescent="0.3">
      <c r="C41" s="66" t="s">
        <v>124</v>
      </c>
      <c r="D41" s="66" t="s">
        <v>125</v>
      </c>
      <c r="E41" s="108">
        <v>2022</v>
      </c>
      <c r="F41" s="95" t="s">
        <v>30</v>
      </c>
      <c r="G41" s="66" t="s">
        <v>107</v>
      </c>
      <c r="H41" s="66" t="s">
        <v>126</v>
      </c>
      <c r="I41" s="66"/>
      <c r="J41" s="66" t="s">
        <v>119</v>
      </c>
      <c r="K41" s="66" t="s">
        <v>127</v>
      </c>
      <c r="L41" s="66" t="s">
        <v>128</v>
      </c>
      <c r="M41" s="108">
        <v>4</v>
      </c>
      <c r="N41" s="108">
        <v>32</v>
      </c>
      <c r="O41" s="108">
        <v>500</v>
      </c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spans="1:30" x14ac:dyDescent="0.3">
      <c r="C42" s="66" t="s">
        <v>129</v>
      </c>
      <c r="D42" s="66" t="s">
        <v>125</v>
      </c>
      <c r="E42" s="108">
        <v>2022</v>
      </c>
      <c r="F42" s="95" t="s">
        <v>30</v>
      </c>
      <c r="G42" s="66" t="s">
        <v>107</v>
      </c>
      <c r="H42" s="66" t="s">
        <v>126</v>
      </c>
      <c r="I42" s="66"/>
      <c r="J42" s="66" t="s">
        <v>119</v>
      </c>
      <c r="K42" s="66" t="s">
        <v>130</v>
      </c>
      <c r="L42" s="66" t="s">
        <v>128</v>
      </c>
      <c r="M42" s="108">
        <v>4</v>
      </c>
      <c r="N42" s="108">
        <v>32</v>
      </c>
      <c r="O42" s="108">
        <v>300</v>
      </c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spans="1:30" ht="30" x14ac:dyDescent="0.3">
      <c r="A43" s="146" t="s">
        <v>131</v>
      </c>
      <c r="B43" s="143" t="s">
        <v>132</v>
      </c>
      <c r="C43" s="132" t="s">
        <v>133</v>
      </c>
      <c r="D43" s="132" t="s">
        <v>125</v>
      </c>
      <c r="E43" s="133">
        <v>2022</v>
      </c>
      <c r="F43" s="134" t="s">
        <v>30</v>
      </c>
      <c r="G43" s="132" t="s">
        <v>72</v>
      </c>
      <c r="H43" s="132" t="s">
        <v>134</v>
      </c>
      <c r="I43" s="132"/>
      <c r="J43" s="132" t="s">
        <v>135</v>
      </c>
      <c r="K43" s="132" t="s">
        <v>136</v>
      </c>
      <c r="L43" s="132"/>
      <c r="M43" s="133">
        <v>12</v>
      </c>
      <c r="N43" s="133">
        <v>24</v>
      </c>
      <c r="O43" s="133">
        <v>100</v>
      </c>
      <c r="P43" s="132"/>
      <c r="Q43" s="132" t="s">
        <v>137</v>
      </c>
      <c r="R43" s="132"/>
      <c r="S43" s="132" t="s">
        <v>138</v>
      </c>
      <c r="T43" s="132"/>
      <c r="U43" s="132"/>
      <c r="V43" s="132"/>
      <c r="W43" s="132"/>
      <c r="X43" s="132"/>
      <c r="Y43" s="132"/>
      <c r="Z43" s="132"/>
      <c r="AA43" s="132"/>
      <c r="AB43" s="132"/>
      <c r="AC43" s="132" t="s">
        <v>139</v>
      </c>
      <c r="AD43" s="135"/>
    </row>
    <row r="44" spans="1:30" ht="30" x14ac:dyDescent="0.3">
      <c r="A44" s="146" t="s">
        <v>131</v>
      </c>
      <c r="B44" s="143" t="s">
        <v>140</v>
      </c>
      <c r="C44" s="132" t="s">
        <v>141</v>
      </c>
      <c r="D44" s="132" t="s">
        <v>125</v>
      </c>
      <c r="E44" s="133">
        <v>2022</v>
      </c>
      <c r="F44" s="134" t="s">
        <v>30</v>
      </c>
      <c r="G44" s="132" t="s">
        <v>72</v>
      </c>
      <c r="H44" s="132" t="s">
        <v>134</v>
      </c>
      <c r="I44" s="132"/>
      <c r="J44" s="132" t="s">
        <v>135</v>
      </c>
      <c r="K44" s="132" t="s">
        <v>136</v>
      </c>
      <c r="L44" s="132"/>
      <c r="M44" s="133">
        <v>12</v>
      </c>
      <c r="N44" s="133">
        <v>24</v>
      </c>
      <c r="O44" s="133">
        <v>600</v>
      </c>
      <c r="P44" s="132"/>
      <c r="Q44" s="132" t="s">
        <v>142</v>
      </c>
      <c r="R44" s="132"/>
      <c r="S44" s="132" t="s">
        <v>138</v>
      </c>
      <c r="T44" s="132"/>
      <c r="U44" s="132"/>
      <c r="V44" s="132"/>
      <c r="W44" s="132"/>
      <c r="X44" s="132"/>
      <c r="Y44" s="132"/>
      <c r="Z44" s="132"/>
      <c r="AA44" s="132"/>
      <c r="AB44" s="132"/>
      <c r="AC44" s="132" t="s">
        <v>139</v>
      </c>
      <c r="AD44" s="135"/>
    </row>
    <row r="45" spans="1:30" ht="30" x14ac:dyDescent="0.3">
      <c r="A45" s="146" t="s">
        <v>131</v>
      </c>
      <c r="B45" s="143" t="s">
        <v>143</v>
      </c>
      <c r="C45" s="132" t="s">
        <v>144</v>
      </c>
      <c r="D45" s="132" t="s">
        <v>125</v>
      </c>
      <c r="E45" s="133">
        <v>2022</v>
      </c>
      <c r="F45" s="134" t="s">
        <v>30</v>
      </c>
      <c r="G45" s="132" t="s">
        <v>72</v>
      </c>
      <c r="H45" s="132" t="s">
        <v>134</v>
      </c>
      <c r="I45" s="132"/>
      <c r="J45" s="132" t="s">
        <v>135</v>
      </c>
      <c r="K45" s="132" t="s">
        <v>136</v>
      </c>
      <c r="L45" s="132"/>
      <c r="M45" s="133">
        <v>12</v>
      </c>
      <c r="N45" s="133">
        <v>24</v>
      </c>
      <c r="O45" s="133">
        <v>600</v>
      </c>
      <c r="P45" s="132"/>
      <c r="Q45" s="132" t="s">
        <v>145</v>
      </c>
      <c r="R45" s="132"/>
      <c r="S45" s="132" t="s">
        <v>138</v>
      </c>
      <c r="T45" s="132"/>
      <c r="U45" s="132"/>
      <c r="V45" s="132"/>
      <c r="W45" s="132"/>
      <c r="X45" s="132"/>
      <c r="Y45" s="132"/>
      <c r="Z45" s="132"/>
      <c r="AA45" s="132"/>
      <c r="AB45" s="132"/>
      <c r="AC45" s="132" t="s">
        <v>139</v>
      </c>
      <c r="AD45" s="135"/>
    </row>
    <row r="46" spans="1:30" ht="30" x14ac:dyDescent="0.3">
      <c r="A46" s="146" t="s">
        <v>131</v>
      </c>
      <c r="B46" s="143" t="s">
        <v>146</v>
      </c>
      <c r="C46" s="132" t="s">
        <v>133</v>
      </c>
      <c r="D46" s="132" t="s">
        <v>125</v>
      </c>
      <c r="E46" s="133">
        <v>2022</v>
      </c>
      <c r="F46" s="134" t="s">
        <v>30</v>
      </c>
      <c r="G46" s="132" t="s">
        <v>147</v>
      </c>
      <c r="H46" s="132" t="s">
        <v>134</v>
      </c>
      <c r="I46" s="132"/>
      <c r="J46" s="132" t="s">
        <v>135</v>
      </c>
      <c r="K46" s="132" t="s">
        <v>148</v>
      </c>
      <c r="L46" s="132"/>
      <c r="M46" s="133">
        <v>12</v>
      </c>
      <c r="N46" s="133">
        <v>24</v>
      </c>
      <c r="O46" s="133">
        <v>100</v>
      </c>
      <c r="P46" s="132"/>
      <c r="Q46" s="132" t="s">
        <v>149</v>
      </c>
      <c r="R46" s="132"/>
      <c r="S46" s="132" t="s">
        <v>138</v>
      </c>
      <c r="T46" s="132"/>
      <c r="U46" s="132"/>
      <c r="V46" s="132"/>
      <c r="W46" s="132"/>
      <c r="X46" s="132"/>
      <c r="Y46" s="132"/>
      <c r="Z46" s="132"/>
      <c r="AA46" s="132"/>
      <c r="AB46" s="132"/>
      <c r="AC46" s="132" t="s">
        <v>139</v>
      </c>
      <c r="AD46" s="135"/>
    </row>
    <row r="47" spans="1:30" ht="30" x14ac:dyDescent="0.3">
      <c r="A47" s="146" t="s">
        <v>131</v>
      </c>
      <c r="B47" s="143" t="s">
        <v>150</v>
      </c>
      <c r="C47" s="132" t="s">
        <v>151</v>
      </c>
      <c r="D47" s="132" t="s">
        <v>125</v>
      </c>
      <c r="E47" s="133">
        <v>2022</v>
      </c>
      <c r="F47" s="134" t="s">
        <v>30</v>
      </c>
      <c r="G47" s="132" t="s">
        <v>147</v>
      </c>
      <c r="H47" s="132" t="s">
        <v>134</v>
      </c>
      <c r="I47" s="132"/>
      <c r="J47" s="132" t="s">
        <v>135</v>
      </c>
      <c r="K47" s="132" t="s">
        <v>148</v>
      </c>
      <c r="L47" s="132"/>
      <c r="M47" s="133">
        <v>12</v>
      </c>
      <c r="N47" s="133">
        <v>24</v>
      </c>
      <c r="O47" s="133">
        <v>600</v>
      </c>
      <c r="P47" s="132"/>
      <c r="Q47" s="132" t="s">
        <v>152</v>
      </c>
      <c r="R47" s="132"/>
      <c r="S47" s="132" t="s">
        <v>138</v>
      </c>
      <c r="T47" s="132"/>
      <c r="U47" s="132"/>
      <c r="V47" s="132"/>
      <c r="W47" s="132"/>
      <c r="X47" s="132"/>
      <c r="Y47" s="132"/>
      <c r="Z47" s="132"/>
      <c r="AA47" s="132"/>
      <c r="AB47" s="132"/>
      <c r="AC47" s="132" t="s">
        <v>139</v>
      </c>
      <c r="AD47" s="135"/>
    </row>
    <row r="48" spans="1:30" ht="30" x14ac:dyDescent="0.3">
      <c r="A48" s="146" t="s">
        <v>131</v>
      </c>
      <c r="B48" s="143" t="s">
        <v>153</v>
      </c>
      <c r="C48" s="132" t="s">
        <v>154</v>
      </c>
      <c r="D48" s="132" t="s">
        <v>125</v>
      </c>
      <c r="E48" s="133">
        <v>2022</v>
      </c>
      <c r="F48" s="134" t="s">
        <v>30</v>
      </c>
      <c r="G48" s="132" t="s">
        <v>147</v>
      </c>
      <c r="H48" s="132" t="s">
        <v>134</v>
      </c>
      <c r="I48" s="132"/>
      <c r="J48" s="132" t="s">
        <v>135</v>
      </c>
      <c r="K48" s="132" t="s">
        <v>148</v>
      </c>
      <c r="L48" s="132"/>
      <c r="M48" s="133">
        <v>12</v>
      </c>
      <c r="N48" s="133">
        <v>24</v>
      </c>
      <c r="O48" s="133">
        <v>600</v>
      </c>
      <c r="P48" s="132"/>
      <c r="Q48" s="132" t="s">
        <v>155</v>
      </c>
      <c r="R48" s="132"/>
      <c r="S48" s="132" t="s">
        <v>138</v>
      </c>
      <c r="T48" s="132"/>
      <c r="U48" s="132"/>
      <c r="V48" s="132"/>
      <c r="W48" s="132"/>
      <c r="X48" s="132"/>
      <c r="Y48" s="132"/>
      <c r="Z48" s="132"/>
      <c r="AA48" s="132"/>
      <c r="AB48" s="132"/>
      <c r="AC48" s="132" t="s">
        <v>139</v>
      </c>
      <c r="AD48" s="135"/>
    </row>
    <row r="49" spans="1:29" ht="30" x14ac:dyDescent="0.3">
      <c r="A49" s="146" t="s">
        <v>131</v>
      </c>
      <c r="B49" s="143" t="s">
        <v>156</v>
      </c>
      <c r="C49" s="129" t="s">
        <v>157</v>
      </c>
      <c r="D49" s="129" t="s">
        <v>125</v>
      </c>
      <c r="E49" s="130">
        <v>2022</v>
      </c>
      <c r="F49" s="131" t="s">
        <v>30</v>
      </c>
      <c r="G49" s="129" t="s">
        <v>72</v>
      </c>
      <c r="H49" s="129" t="s">
        <v>134</v>
      </c>
      <c r="I49" s="129"/>
      <c r="J49" s="129" t="s">
        <v>158</v>
      </c>
      <c r="K49" s="129" t="s">
        <v>159</v>
      </c>
      <c r="L49" s="129"/>
      <c r="M49" s="130">
        <v>12</v>
      </c>
      <c r="N49" s="130">
        <v>24</v>
      </c>
      <c r="O49" s="130">
        <v>600</v>
      </c>
      <c r="P49" s="129"/>
      <c r="Q49" s="132" t="s">
        <v>160</v>
      </c>
      <c r="R49" s="136"/>
      <c r="S49" s="136" t="s">
        <v>161</v>
      </c>
      <c r="T49" s="129"/>
      <c r="U49" s="129"/>
      <c r="V49" s="129"/>
      <c r="W49" s="129"/>
      <c r="X49" s="129"/>
      <c r="Y49" s="129"/>
      <c r="Z49" s="129"/>
      <c r="AA49" s="129"/>
      <c r="AB49" s="129"/>
      <c r="AC49" s="136" t="s">
        <v>139</v>
      </c>
    </row>
    <row r="50" spans="1:29" ht="30" x14ac:dyDescent="0.3">
      <c r="A50" s="2" t="s">
        <v>131</v>
      </c>
      <c r="B50" s="143" t="s">
        <v>162</v>
      </c>
      <c r="C50" s="129" t="s">
        <v>163</v>
      </c>
      <c r="D50" s="129" t="s">
        <v>125</v>
      </c>
      <c r="E50" s="130">
        <v>2022</v>
      </c>
      <c r="F50" s="131" t="s">
        <v>30</v>
      </c>
      <c r="G50" s="129" t="s">
        <v>72</v>
      </c>
      <c r="H50" s="129" t="s">
        <v>134</v>
      </c>
      <c r="I50" s="129"/>
      <c r="J50" s="129" t="s">
        <v>164</v>
      </c>
      <c r="K50" s="129" t="s">
        <v>165</v>
      </c>
      <c r="L50" s="129"/>
      <c r="M50" s="130">
        <v>12</v>
      </c>
      <c r="N50" s="130">
        <v>24</v>
      </c>
      <c r="O50" s="130">
        <v>600</v>
      </c>
      <c r="P50" s="129"/>
      <c r="Q50" s="132" t="s">
        <v>166</v>
      </c>
      <c r="R50" s="136"/>
      <c r="S50" s="136" t="s">
        <v>161</v>
      </c>
      <c r="T50" s="129"/>
      <c r="U50" s="129"/>
      <c r="V50" s="129"/>
      <c r="W50" s="129"/>
      <c r="X50" s="129"/>
      <c r="Y50" s="129"/>
      <c r="Z50" s="129"/>
      <c r="AA50" s="129"/>
      <c r="AB50" s="129"/>
      <c r="AC50" s="136" t="s">
        <v>139</v>
      </c>
    </row>
    <row r="51" spans="1:29" ht="30" x14ac:dyDescent="0.3">
      <c r="A51" s="146" t="s">
        <v>131</v>
      </c>
      <c r="B51" s="143" t="s">
        <v>167</v>
      </c>
      <c r="C51" s="129" t="s">
        <v>168</v>
      </c>
      <c r="D51" s="129" t="s">
        <v>125</v>
      </c>
      <c r="E51" s="130">
        <v>2022</v>
      </c>
      <c r="F51" s="131" t="s">
        <v>30</v>
      </c>
      <c r="G51" s="129" t="s">
        <v>72</v>
      </c>
      <c r="H51" s="129" t="s">
        <v>134</v>
      </c>
      <c r="I51" s="129"/>
      <c r="J51" s="129" t="s">
        <v>169</v>
      </c>
      <c r="K51" s="129" t="s">
        <v>170</v>
      </c>
      <c r="L51" s="129"/>
      <c r="M51" s="130">
        <v>12</v>
      </c>
      <c r="N51" s="130">
        <v>24</v>
      </c>
      <c r="O51" s="130">
        <v>600</v>
      </c>
      <c r="P51" s="129"/>
      <c r="Q51" s="132" t="s">
        <v>171</v>
      </c>
      <c r="R51" s="136"/>
      <c r="S51" s="136" t="s">
        <v>161</v>
      </c>
      <c r="T51" s="129"/>
      <c r="U51" s="129"/>
      <c r="V51" s="129"/>
      <c r="W51" s="129"/>
      <c r="X51" s="129"/>
      <c r="Y51" s="129"/>
      <c r="Z51" s="129"/>
      <c r="AA51" s="129"/>
      <c r="AB51" s="129"/>
      <c r="AC51" s="136" t="s">
        <v>139</v>
      </c>
    </row>
    <row r="52" spans="1:29" ht="30" x14ac:dyDescent="0.3">
      <c r="A52" s="146" t="s">
        <v>131</v>
      </c>
      <c r="B52" s="143" t="s">
        <v>172</v>
      </c>
      <c r="C52" s="129" t="s">
        <v>173</v>
      </c>
      <c r="D52" s="129" t="s">
        <v>125</v>
      </c>
      <c r="E52" s="130">
        <v>2022</v>
      </c>
      <c r="F52" s="131" t="s">
        <v>30</v>
      </c>
      <c r="G52" s="129" t="s">
        <v>72</v>
      </c>
      <c r="H52" s="129" t="s">
        <v>134</v>
      </c>
      <c r="I52" s="129"/>
      <c r="J52" s="129" t="s">
        <v>174</v>
      </c>
      <c r="K52" s="129" t="s">
        <v>175</v>
      </c>
      <c r="L52" s="129"/>
      <c r="M52" s="130">
        <v>12</v>
      </c>
      <c r="N52" s="130">
        <v>24</v>
      </c>
      <c r="O52" s="130">
        <v>600</v>
      </c>
      <c r="P52" s="129"/>
      <c r="Q52" s="132" t="s">
        <v>176</v>
      </c>
      <c r="R52" s="136"/>
      <c r="S52" s="136" t="s">
        <v>161</v>
      </c>
      <c r="T52" s="129"/>
      <c r="U52" s="129"/>
      <c r="V52" s="129"/>
      <c r="W52" s="129"/>
      <c r="X52" s="129"/>
      <c r="Y52" s="129"/>
      <c r="Z52" s="129"/>
      <c r="AA52" s="129"/>
      <c r="AB52" s="129"/>
      <c r="AC52" s="136" t="s">
        <v>139</v>
      </c>
    </row>
    <row r="53" spans="1:29" ht="30" x14ac:dyDescent="0.3">
      <c r="A53" s="146" t="s">
        <v>131</v>
      </c>
      <c r="B53" s="143" t="s">
        <v>177</v>
      </c>
      <c r="C53" s="129" t="s">
        <v>178</v>
      </c>
      <c r="D53" s="129" t="s">
        <v>125</v>
      </c>
      <c r="E53" s="130">
        <v>2022</v>
      </c>
      <c r="F53" s="131" t="s">
        <v>30</v>
      </c>
      <c r="G53" s="129" t="s">
        <v>72</v>
      </c>
      <c r="H53" s="129" t="s">
        <v>134</v>
      </c>
      <c r="I53" s="129"/>
      <c r="J53" s="129" t="s">
        <v>179</v>
      </c>
      <c r="K53" s="129" t="s">
        <v>180</v>
      </c>
      <c r="L53" s="129"/>
      <c r="M53" s="130">
        <v>12</v>
      </c>
      <c r="N53" s="130">
        <v>24</v>
      </c>
      <c r="O53" s="130">
        <v>600</v>
      </c>
      <c r="P53" s="129"/>
      <c r="Q53" s="132" t="s">
        <v>181</v>
      </c>
      <c r="R53" s="136"/>
      <c r="S53" s="136" t="s">
        <v>161</v>
      </c>
      <c r="T53" s="129"/>
      <c r="U53" s="129"/>
      <c r="V53" s="129"/>
      <c r="W53" s="129"/>
      <c r="X53" s="129"/>
      <c r="Y53" s="129"/>
      <c r="Z53" s="129"/>
      <c r="AA53" s="129"/>
      <c r="AB53" s="129"/>
      <c r="AC53" s="136" t="s">
        <v>139</v>
      </c>
    </row>
    <row r="54" spans="1:29" ht="30" x14ac:dyDescent="0.3">
      <c r="A54" s="146"/>
      <c r="B54" s="143"/>
      <c r="C54" s="147"/>
      <c r="D54" s="147" t="s">
        <v>125</v>
      </c>
      <c r="E54" s="148">
        <v>2019</v>
      </c>
      <c r="F54" s="149" t="s">
        <v>30</v>
      </c>
      <c r="G54" s="147" t="s">
        <v>72</v>
      </c>
      <c r="H54" s="147" t="s">
        <v>182</v>
      </c>
      <c r="I54" s="147"/>
      <c r="J54" s="147" t="s">
        <v>135</v>
      </c>
      <c r="K54" s="147" t="s">
        <v>183</v>
      </c>
      <c r="L54" s="129"/>
      <c r="M54" s="130"/>
      <c r="N54" s="130"/>
      <c r="O54" s="130"/>
      <c r="P54" s="129"/>
      <c r="Q54" s="150" t="s">
        <v>184</v>
      </c>
      <c r="R54" s="151"/>
      <c r="S54" s="151" t="s">
        <v>161</v>
      </c>
      <c r="T54" s="129"/>
      <c r="U54" s="129"/>
      <c r="V54" s="129"/>
      <c r="W54" s="129"/>
      <c r="X54" s="129"/>
      <c r="Y54" s="147"/>
      <c r="Z54" s="147"/>
      <c r="AA54" s="147"/>
      <c r="AB54" s="147"/>
      <c r="AC54" s="151" t="s">
        <v>139</v>
      </c>
    </row>
    <row r="55" spans="1:29" ht="30" x14ac:dyDescent="0.3">
      <c r="B55" s="143" t="s">
        <v>185</v>
      </c>
      <c r="C55" s="129" t="s">
        <v>186</v>
      </c>
      <c r="D55" s="129" t="s">
        <v>117</v>
      </c>
      <c r="E55" s="130">
        <v>9.4</v>
      </c>
      <c r="F55" s="131" t="s">
        <v>30</v>
      </c>
      <c r="G55" s="129" t="s">
        <v>147</v>
      </c>
      <c r="H55" s="129" t="s">
        <v>187</v>
      </c>
      <c r="I55" s="129"/>
      <c r="J55" s="129" t="s">
        <v>188</v>
      </c>
      <c r="K55" s="129" t="s">
        <v>189</v>
      </c>
      <c r="L55" s="129"/>
      <c r="M55" s="130">
        <v>8</v>
      </c>
      <c r="N55" s="130">
        <v>24</v>
      </c>
      <c r="O55" s="130">
        <v>200</v>
      </c>
      <c r="P55" s="129"/>
      <c r="Q55" s="132" t="s">
        <v>190</v>
      </c>
      <c r="R55" s="136"/>
      <c r="S55" s="136" t="s">
        <v>161</v>
      </c>
      <c r="T55" s="129"/>
      <c r="U55" s="129"/>
      <c r="V55" s="129"/>
      <c r="W55" s="129"/>
      <c r="X55" s="129"/>
      <c r="Y55" s="129"/>
      <c r="Z55" s="129"/>
      <c r="AA55" s="129"/>
      <c r="AB55" s="129"/>
      <c r="AC55" s="136" t="s">
        <v>191</v>
      </c>
    </row>
    <row r="56" spans="1:29" ht="60" x14ac:dyDescent="0.3">
      <c r="A56" s="2" t="s">
        <v>192</v>
      </c>
      <c r="B56" s="143" t="s">
        <v>193</v>
      </c>
      <c r="C56" s="129" t="s">
        <v>194</v>
      </c>
      <c r="D56" s="129" t="s">
        <v>117</v>
      </c>
      <c r="E56" s="130">
        <v>9.4</v>
      </c>
      <c r="F56" s="131" t="s">
        <v>30</v>
      </c>
      <c r="G56" s="129" t="s">
        <v>72</v>
      </c>
      <c r="H56" s="129" t="s">
        <v>187</v>
      </c>
      <c r="I56" s="129"/>
      <c r="J56" s="129" t="s">
        <v>188</v>
      </c>
      <c r="K56" s="129" t="s">
        <v>189</v>
      </c>
      <c r="L56" s="129"/>
      <c r="M56" s="130">
        <v>8</v>
      </c>
      <c r="N56" s="130">
        <v>24</v>
      </c>
      <c r="O56" s="130">
        <v>200</v>
      </c>
      <c r="P56" s="129"/>
      <c r="Q56" s="132" t="s">
        <v>195</v>
      </c>
      <c r="R56" s="136"/>
      <c r="S56" s="136" t="s">
        <v>161</v>
      </c>
      <c r="T56" s="129"/>
      <c r="U56" s="129"/>
      <c r="V56" s="129"/>
      <c r="W56" s="129"/>
      <c r="X56" s="129"/>
      <c r="Y56" s="129"/>
      <c r="Z56" s="129"/>
      <c r="AA56" s="129"/>
      <c r="AB56" s="129"/>
      <c r="AC56" s="136" t="s">
        <v>191</v>
      </c>
    </row>
    <row r="57" spans="1:29" ht="30" x14ac:dyDescent="0.3">
      <c r="B57" s="143"/>
      <c r="C57" s="147"/>
      <c r="D57" s="147" t="s">
        <v>125</v>
      </c>
      <c r="E57" s="148">
        <v>2019</v>
      </c>
      <c r="F57" s="149" t="s">
        <v>30</v>
      </c>
      <c r="G57" s="147" t="s">
        <v>147</v>
      </c>
      <c r="H57" s="147" t="s">
        <v>182</v>
      </c>
      <c r="I57" s="147"/>
      <c r="J57" s="147" t="s">
        <v>135</v>
      </c>
      <c r="K57" s="147" t="s">
        <v>183</v>
      </c>
      <c r="L57" s="129"/>
      <c r="M57" s="130"/>
      <c r="N57" s="130"/>
      <c r="O57" s="130"/>
      <c r="P57" s="129"/>
      <c r="Q57" s="150" t="s">
        <v>184</v>
      </c>
      <c r="R57" s="151"/>
      <c r="S57" s="151" t="s">
        <v>161</v>
      </c>
      <c r="T57" s="129"/>
      <c r="U57" s="129"/>
      <c r="V57" s="129"/>
      <c r="W57" s="129"/>
      <c r="X57" s="129"/>
      <c r="Y57" s="147"/>
      <c r="Z57" s="147"/>
      <c r="AA57" s="147"/>
      <c r="AB57" s="147"/>
      <c r="AC57" s="151" t="s">
        <v>139</v>
      </c>
    </row>
    <row r="58" spans="1:29" ht="60" x14ac:dyDescent="0.3">
      <c r="A58" s="146" t="s">
        <v>196</v>
      </c>
      <c r="B58" s="143" t="s">
        <v>197</v>
      </c>
      <c r="C58" s="132" t="s">
        <v>198</v>
      </c>
      <c r="D58" s="132" t="s">
        <v>125</v>
      </c>
      <c r="E58" s="133">
        <v>2025</v>
      </c>
      <c r="F58" s="134" t="s">
        <v>30</v>
      </c>
      <c r="G58" s="132" t="s">
        <v>72</v>
      </c>
      <c r="H58" s="132" t="s">
        <v>199</v>
      </c>
      <c r="I58" s="132"/>
      <c r="J58" s="132" t="s">
        <v>135</v>
      </c>
      <c r="K58" s="132" t="s">
        <v>200</v>
      </c>
      <c r="L58" s="132"/>
      <c r="M58" s="133">
        <v>12</v>
      </c>
      <c r="N58" s="133">
        <v>24</v>
      </c>
      <c r="O58" s="133">
        <v>600</v>
      </c>
      <c r="P58" s="132"/>
      <c r="Q58" s="132" t="s">
        <v>201</v>
      </c>
      <c r="R58" s="132"/>
      <c r="S58" s="132" t="s">
        <v>202</v>
      </c>
      <c r="T58" s="132"/>
      <c r="U58" s="132"/>
      <c r="V58" s="132"/>
      <c r="W58" s="132"/>
      <c r="X58" s="132"/>
      <c r="Y58" s="132"/>
      <c r="Z58" s="132"/>
      <c r="AA58" s="132"/>
      <c r="AB58" s="129"/>
      <c r="AC58" s="132" t="s">
        <v>203</v>
      </c>
    </row>
    <row r="59" spans="1:29" ht="33.450000000000003" customHeight="1" x14ac:dyDescent="0.3">
      <c r="A59" s="146" t="s">
        <v>131</v>
      </c>
      <c r="B59" s="143" t="s">
        <v>204</v>
      </c>
      <c r="C59" s="132" t="s">
        <v>205</v>
      </c>
      <c r="D59" s="132" t="s">
        <v>125</v>
      </c>
      <c r="E59" s="133">
        <v>2025</v>
      </c>
      <c r="F59" s="134" t="s">
        <v>30</v>
      </c>
      <c r="G59" s="132" t="s">
        <v>147</v>
      </c>
      <c r="H59" s="132" t="s">
        <v>199</v>
      </c>
      <c r="I59" s="132"/>
      <c r="J59" s="132" t="s">
        <v>135</v>
      </c>
      <c r="K59" s="132" t="s">
        <v>200</v>
      </c>
      <c r="L59" s="132"/>
      <c r="M59" s="133">
        <v>12</v>
      </c>
      <c r="N59" s="133">
        <v>24</v>
      </c>
      <c r="O59" s="133">
        <v>600</v>
      </c>
      <c r="P59" s="132"/>
      <c r="Q59" s="132" t="s">
        <v>206</v>
      </c>
      <c r="R59" s="132"/>
      <c r="S59" s="132" t="s">
        <v>202</v>
      </c>
      <c r="T59" s="132"/>
      <c r="U59" s="132"/>
      <c r="V59" s="132"/>
      <c r="W59" s="132"/>
      <c r="X59" s="132"/>
      <c r="Y59" s="132"/>
      <c r="Z59" s="132"/>
      <c r="AA59" s="132"/>
      <c r="AB59" s="129"/>
      <c r="AC59" s="132" t="s">
        <v>203</v>
      </c>
    </row>
    <row r="60" spans="1:29" ht="32.700000000000003" customHeight="1" x14ac:dyDescent="0.3">
      <c r="B60" s="143" t="s">
        <v>207</v>
      </c>
      <c r="C60" s="132" t="s">
        <v>208</v>
      </c>
      <c r="D60" s="132" t="s">
        <v>117</v>
      </c>
      <c r="E60" s="133">
        <v>9.4</v>
      </c>
      <c r="F60" s="134" t="s">
        <v>30</v>
      </c>
      <c r="G60" s="132" t="s">
        <v>147</v>
      </c>
      <c r="H60" s="132" t="s">
        <v>209</v>
      </c>
      <c r="I60" s="132"/>
      <c r="J60" s="132" t="s">
        <v>135</v>
      </c>
      <c r="K60" s="132" t="s">
        <v>209</v>
      </c>
      <c r="L60" s="132"/>
      <c r="M60" s="133">
        <v>4</v>
      </c>
      <c r="N60" s="133">
        <v>16</v>
      </c>
      <c r="O60" s="133">
        <v>400</v>
      </c>
      <c r="P60" s="132"/>
      <c r="Q60" s="132" t="s">
        <v>210</v>
      </c>
      <c r="R60" s="132"/>
      <c r="S60" s="132" t="s">
        <v>211</v>
      </c>
      <c r="T60" s="132"/>
      <c r="U60" s="132"/>
      <c r="V60" s="132"/>
      <c r="W60" s="132"/>
      <c r="X60" s="132"/>
      <c r="Y60" s="132"/>
      <c r="Z60" s="132"/>
      <c r="AA60" s="132"/>
      <c r="AB60" s="129"/>
      <c r="AC60" s="132" t="s">
        <v>212</v>
      </c>
    </row>
    <row r="61" spans="1:29" ht="31.95" customHeight="1" x14ac:dyDescent="0.3">
      <c r="A61" s="2" t="s">
        <v>213</v>
      </c>
      <c r="B61" s="143" t="s">
        <v>214</v>
      </c>
      <c r="C61" s="132" t="s">
        <v>215</v>
      </c>
      <c r="D61" s="132" t="s">
        <v>117</v>
      </c>
      <c r="E61" s="133">
        <v>9.4</v>
      </c>
      <c r="F61" s="134" t="s">
        <v>30</v>
      </c>
      <c r="G61" s="132" t="s">
        <v>72</v>
      </c>
      <c r="H61" s="132" t="s">
        <v>209</v>
      </c>
      <c r="I61" s="132"/>
      <c r="J61" s="132" t="s">
        <v>135</v>
      </c>
      <c r="K61" s="132" t="s">
        <v>209</v>
      </c>
      <c r="L61" s="132"/>
      <c r="M61" s="133">
        <v>4</v>
      </c>
      <c r="N61" s="133">
        <v>16</v>
      </c>
      <c r="O61" s="133">
        <v>400</v>
      </c>
      <c r="P61" s="132"/>
      <c r="Q61" s="132" t="s">
        <v>216</v>
      </c>
      <c r="R61" s="132"/>
      <c r="S61" s="132" t="s">
        <v>211</v>
      </c>
      <c r="T61" s="132"/>
      <c r="U61" s="132"/>
      <c r="V61" s="132"/>
      <c r="W61" s="132"/>
      <c r="X61" s="132"/>
      <c r="Y61" s="132"/>
      <c r="Z61" s="132"/>
      <c r="AA61" s="132"/>
      <c r="AB61" s="129"/>
      <c r="AC61" s="132" t="s">
        <v>212</v>
      </c>
    </row>
    <row r="62" spans="1:29" ht="30" x14ac:dyDescent="0.3">
      <c r="A62" s="2" t="s">
        <v>217</v>
      </c>
      <c r="B62" s="143" t="s">
        <v>218</v>
      </c>
      <c r="C62" s="132" t="s">
        <v>219</v>
      </c>
      <c r="D62" s="132" t="s">
        <v>117</v>
      </c>
      <c r="E62" s="133">
        <v>9.4</v>
      </c>
      <c r="F62" s="134" t="s">
        <v>30</v>
      </c>
      <c r="G62" s="132" t="s">
        <v>147</v>
      </c>
      <c r="H62" s="132" t="s">
        <v>220</v>
      </c>
      <c r="I62" s="132"/>
      <c r="J62" s="132" t="s">
        <v>135</v>
      </c>
      <c r="K62" s="132" t="s">
        <v>220</v>
      </c>
      <c r="L62" s="132"/>
      <c r="M62" s="133">
        <v>4</v>
      </c>
      <c r="N62" s="133">
        <v>16</v>
      </c>
      <c r="O62" s="133">
        <v>200</v>
      </c>
      <c r="P62" s="132"/>
      <c r="Q62" s="132" t="s">
        <v>221</v>
      </c>
      <c r="R62" s="132"/>
      <c r="S62" s="132" t="s">
        <v>222</v>
      </c>
      <c r="T62" s="132"/>
      <c r="U62" s="132"/>
      <c r="V62" s="132"/>
      <c r="W62" s="132"/>
      <c r="X62" s="132"/>
      <c r="Y62" s="132"/>
      <c r="Z62" s="132"/>
      <c r="AA62" s="132"/>
      <c r="AB62" s="129"/>
      <c r="AC62" s="132" t="s">
        <v>223</v>
      </c>
    </row>
    <row r="63" spans="1:29" ht="28.95" customHeight="1" x14ac:dyDescent="0.3">
      <c r="A63" s="2" t="s">
        <v>217</v>
      </c>
      <c r="B63" s="143" t="s">
        <v>224</v>
      </c>
      <c r="C63" s="132" t="s">
        <v>225</v>
      </c>
      <c r="D63" s="132" t="s">
        <v>117</v>
      </c>
      <c r="E63" s="133">
        <v>9.4</v>
      </c>
      <c r="F63" s="134" t="s">
        <v>30</v>
      </c>
      <c r="G63" s="132" t="s">
        <v>72</v>
      </c>
      <c r="H63" s="132" t="s">
        <v>220</v>
      </c>
      <c r="I63" s="132"/>
      <c r="J63" s="132" t="s">
        <v>135</v>
      </c>
      <c r="K63" s="132" t="s">
        <v>220</v>
      </c>
      <c r="L63" s="132"/>
      <c r="M63" s="133">
        <v>4</v>
      </c>
      <c r="N63" s="133">
        <v>16</v>
      </c>
      <c r="O63" s="133">
        <v>200</v>
      </c>
      <c r="P63" s="132"/>
      <c r="Q63" s="132" t="s">
        <v>226</v>
      </c>
      <c r="R63" s="132"/>
      <c r="S63" s="132" t="s">
        <v>222</v>
      </c>
      <c r="T63" s="132"/>
      <c r="U63" s="132"/>
      <c r="V63" s="132"/>
      <c r="W63" s="132"/>
      <c r="X63" s="132"/>
      <c r="Y63" s="132"/>
      <c r="Z63" s="132"/>
      <c r="AA63" s="132"/>
      <c r="AB63" s="129"/>
      <c r="AC63" s="132" t="s">
        <v>223</v>
      </c>
    </row>
    <row r="65" spans="5:9" x14ac:dyDescent="0.3">
      <c r="E65" s="6"/>
      <c r="F65" s="144" t="s">
        <v>227</v>
      </c>
      <c r="G65" s="144" t="s">
        <v>228</v>
      </c>
      <c r="H65" s="144" t="s">
        <v>229</v>
      </c>
      <c r="I65" s="144" t="s">
        <v>228</v>
      </c>
    </row>
    <row r="66" spans="5:9" x14ac:dyDescent="0.3">
      <c r="E66" s="145" t="s">
        <v>230</v>
      </c>
      <c r="F66" s="145">
        <v>7</v>
      </c>
      <c r="G66" s="145">
        <v>1</v>
      </c>
      <c r="H66" s="145">
        <v>2</v>
      </c>
      <c r="I66" s="145">
        <v>1</v>
      </c>
    </row>
    <row r="67" spans="5:9" x14ac:dyDescent="0.3">
      <c r="E67" s="145" t="s">
        <v>199</v>
      </c>
      <c r="F67" s="145">
        <v>1</v>
      </c>
      <c r="G67" s="145" t="s">
        <v>231</v>
      </c>
      <c r="H67" s="145">
        <v>1</v>
      </c>
      <c r="I67" s="145" t="s">
        <v>231</v>
      </c>
    </row>
    <row r="68" spans="5:9" x14ac:dyDescent="0.3">
      <c r="E68" s="145" t="s">
        <v>187</v>
      </c>
      <c r="F68" s="145">
        <v>1</v>
      </c>
      <c r="G68" s="145" t="s">
        <v>231</v>
      </c>
      <c r="H68" s="145">
        <v>1</v>
      </c>
      <c r="I68" s="145" t="s">
        <v>231</v>
      </c>
    </row>
    <row r="69" spans="5:9" x14ac:dyDescent="0.3">
      <c r="E69" s="145" t="s">
        <v>209</v>
      </c>
      <c r="F69" s="145">
        <v>1</v>
      </c>
      <c r="G69" s="145" t="s">
        <v>231</v>
      </c>
      <c r="H69" s="145">
        <v>1</v>
      </c>
      <c r="I69" s="145" t="s">
        <v>231</v>
      </c>
    </row>
    <row r="70" spans="5:9" ht="18.600000000000001" customHeight="1" x14ac:dyDescent="0.3">
      <c r="E70" s="145" t="s">
        <v>220</v>
      </c>
      <c r="F70" s="145">
        <v>1</v>
      </c>
      <c r="G70" s="145" t="s">
        <v>231</v>
      </c>
      <c r="H70" s="145">
        <v>1</v>
      </c>
      <c r="I70" s="145" t="s">
        <v>231</v>
      </c>
    </row>
  </sheetData>
  <autoFilter ref="C1:AC63" xr:uid="{00000000-0009-0000-0000-000000000000}">
    <filterColumn colId="4">
      <filters>
        <filter val="內網管理區"/>
        <filter val="外網區(含實體隔離)"/>
        <filter val="外網管理區"/>
      </filters>
    </filterColumn>
  </autoFilter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48"/>
  <sheetViews>
    <sheetView zoomScale="85" zoomScaleNormal="85" workbookViewId="0">
      <pane xSplit="3" ySplit="1" topLeftCell="D30" activePane="bottomRight" state="frozen"/>
      <selection pane="topRight" activeCell="J24" sqref="J24"/>
      <selection pane="bottomLeft" activeCell="J24" sqref="J24"/>
      <selection pane="bottomRight" activeCell="Q37" sqref="Q37"/>
    </sheetView>
  </sheetViews>
  <sheetFormatPr defaultColWidth="9" defaultRowHeight="15" x14ac:dyDescent="0.3"/>
  <cols>
    <col min="1" max="1" width="6.21875" style="2" customWidth="1"/>
    <col min="2" max="2" width="6.6640625" style="2" customWidth="1"/>
    <col min="3" max="3" width="31" style="2" customWidth="1"/>
    <col min="4" max="4" width="11.109375" style="2" bestFit="1" customWidth="1"/>
    <col min="5" max="5" width="16.6640625" style="2" customWidth="1"/>
    <col min="6" max="6" width="12.109375" style="2" bestFit="1" customWidth="1"/>
    <col min="7" max="7" width="19.6640625" style="2" customWidth="1"/>
    <col min="8" max="8" width="9.109375" style="2" customWidth="1"/>
    <col min="9" max="9" width="21.44140625" style="2" customWidth="1"/>
    <col min="10" max="10" width="8.6640625" style="2" customWidth="1"/>
    <col min="11" max="11" width="38.88671875" style="2" customWidth="1"/>
    <col min="12" max="12" width="31.6640625" style="2" hidden="1" customWidth="1"/>
    <col min="13" max="13" width="10" style="2" hidden="1" customWidth="1"/>
    <col min="14" max="14" width="11.109375" style="2" hidden="1" customWidth="1"/>
    <col min="15" max="15" width="28" style="2" hidden="1" customWidth="1"/>
    <col min="16" max="16" width="17" style="2" hidden="1" customWidth="1"/>
    <col min="17" max="17" width="29.77734375" style="2" customWidth="1"/>
    <col min="18" max="19" width="34.88671875" style="4" customWidth="1"/>
    <col min="20" max="20" width="22.44140625" style="3" customWidth="1"/>
    <col min="21" max="21" width="13" style="2" customWidth="1"/>
    <col min="22" max="22" width="21.44140625" style="2" customWidth="1"/>
    <col min="23" max="24" width="16.6640625" style="2" customWidth="1"/>
    <col min="25" max="25" width="15.6640625" style="3" customWidth="1"/>
    <col min="26" max="26" width="10.109375" style="2" customWidth="1"/>
    <col min="27" max="27" width="9.33203125" style="2" customWidth="1"/>
    <col min="28" max="28" width="18.109375" style="2" customWidth="1"/>
    <col min="29" max="29" width="33.21875" style="2" customWidth="1"/>
    <col min="30" max="16384" width="9" style="2"/>
  </cols>
  <sheetData>
    <row r="1" spans="3:29" s="1" customFormat="1" ht="75" x14ac:dyDescent="0.3">
      <c r="C1" s="41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5" t="s">
        <v>13</v>
      </c>
      <c r="P1" s="45" t="s">
        <v>14</v>
      </c>
      <c r="Q1" s="68" t="s">
        <v>15</v>
      </c>
      <c r="R1" s="67" t="s">
        <v>16</v>
      </c>
      <c r="S1" s="67" t="s">
        <v>17</v>
      </c>
      <c r="T1" s="43" t="s">
        <v>18</v>
      </c>
      <c r="U1" s="45" t="s">
        <v>19</v>
      </c>
      <c r="V1" s="44" t="s">
        <v>20</v>
      </c>
      <c r="W1" s="44" t="s">
        <v>21</v>
      </c>
      <c r="X1" s="44" t="s">
        <v>22</v>
      </c>
      <c r="Y1" s="43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</row>
    <row r="2" spans="3:29" x14ac:dyDescent="0.3">
      <c r="C2" s="92" t="s">
        <v>232</v>
      </c>
      <c r="D2" s="93" t="s">
        <v>29</v>
      </c>
      <c r="E2" s="95">
        <v>8.9</v>
      </c>
      <c r="F2" s="93" t="s">
        <v>233</v>
      </c>
      <c r="G2" s="93" t="s">
        <v>31</v>
      </c>
      <c r="H2" s="93" t="s">
        <v>32</v>
      </c>
      <c r="I2" s="93" t="s">
        <v>33</v>
      </c>
      <c r="J2" s="93" t="s">
        <v>34</v>
      </c>
      <c r="K2" s="93" t="s">
        <v>234</v>
      </c>
      <c r="L2" s="93" t="s">
        <v>36</v>
      </c>
      <c r="M2" s="93">
        <v>4</v>
      </c>
      <c r="N2" s="93">
        <v>120</v>
      </c>
      <c r="O2" s="93">
        <v>300</v>
      </c>
      <c r="P2" s="93" t="s">
        <v>33</v>
      </c>
      <c r="Q2" s="93" t="s">
        <v>33</v>
      </c>
      <c r="R2" s="93" t="s">
        <v>33</v>
      </c>
      <c r="S2" s="93" t="s">
        <v>33</v>
      </c>
      <c r="T2" s="93" t="s">
        <v>33</v>
      </c>
      <c r="U2" s="93" t="s">
        <v>33</v>
      </c>
      <c r="V2" s="93" t="s">
        <v>33</v>
      </c>
      <c r="W2" s="93" t="s">
        <v>33</v>
      </c>
      <c r="X2" s="93" t="s">
        <v>33</v>
      </c>
      <c r="Y2" s="93" t="s">
        <v>33</v>
      </c>
      <c r="Z2" s="93" t="s">
        <v>33</v>
      </c>
      <c r="AA2" s="93" t="s">
        <v>33</v>
      </c>
      <c r="AB2" s="93" t="s">
        <v>33</v>
      </c>
      <c r="AC2" s="93" t="s">
        <v>33</v>
      </c>
    </row>
    <row r="3" spans="3:29" x14ac:dyDescent="0.3">
      <c r="C3" s="94" t="s">
        <v>235</v>
      </c>
      <c r="D3" s="95" t="s">
        <v>29</v>
      </c>
      <c r="E3" s="95">
        <v>8.9</v>
      </c>
      <c r="F3" s="95" t="s">
        <v>233</v>
      </c>
      <c r="G3" s="95" t="s">
        <v>31</v>
      </c>
      <c r="H3" s="95" t="s">
        <v>32</v>
      </c>
      <c r="I3" s="95" t="s">
        <v>33</v>
      </c>
      <c r="J3" s="95" t="s">
        <v>34</v>
      </c>
      <c r="K3" s="95" t="s">
        <v>236</v>
      </c>
      <c r="L3" s="95" t="s">
        <v>36</v>
      </c>
      <c r="M3" s="95">
        <v>2</v>
      </c>
      <c r="N3" s="95">
        <v>100</v>
      </c>
      <c r="O3" s="95">
        <v>300</v>
      </c>
      <c r="P3" s="95" t="s">
        <v>33</v>
      </c>
      <c r="Q3" s="95" t="s">
        <v>33</v>
      </c>
      <c r="R3" s="95" t="s">
        <v>33</v>
      </c>
      <c r="S3" s="95" t="s">
        <v>33</v>
      </c>
      <c r="T3" s="95" t="s">
        <v>33</v>
      </c>
      <c r="U3" s="95" t="s">
        <v>33</v>
      </c>
      <c r="V3" s="95" t="s">
        <v>33</v>
      </c>
      <c r="W3" s="95" t="s">
        <v>33</v>
      </c>
      <c r="X3" s="95" t="s">
        <v>33</v>
      </c>
      <c r="Y3" s="95" t="s">
        <v>33</v>
      </c>
      <c r="Z3" s="95" t="s">
        <v>33</v>
      </c>
      <c r="AA3" s="95" t="s">
        <v>33</v>
      </c>
      <c r="AB3" s="95" t="s">
        <v>33</v>
      </c>
      <c r="AC3" s="95" t="s">
        <v>33</v>
      </c>
    </row>
    <row r="4" spans="3:29" x14ac:dyDescent="0.3">
      <c r="C4" s="94" t="s">
        <v>237</v>
      </c>
      <c r="D4" s="95" t="s">
        <v>29</v>
      </c>
      <c r="E4" s="95">
        <v>8.9</v>
      </c>
      <c r="F4" s="95" t="s">
        <v>233</v>
      </c>
      <c r="G4" s="95" t="s">
        <v>31</v>
      </c>
      <c r="H4" s="95" t="s">
        <v>32</v>
      </c>
      <c r="I4" s="95" t="s">
        <v>33</v>
      </c>
      <c r="J4" s="95" t="s">
        <v>34</v>
      </c>
      <c r="K4" s="95" t="s">
        <v>238</v>
      </c>
      <c r="L4" s="95" t="s">
        <v>36</v>
      </c>
      <c r="M4" s="95">
        <v>2</v>
      </c>
      <c r="N4" s="95">
        <v>100</v>
      </c>
      <c r="O4" s="95">
        <v>300</v>
      </c>
      <c r="P4" s="95" t="s">
        <v>33</v>
      </c>
      <c r="Q4" s="95" t="s">
        <v>33</v>
      </c>
      <c r="R4" s="95" t="s">
        <v>33</v>
      </c>
      <c r="S4" s="95" t="s">
        <v>33</v>
      </c>
      <c r="T4" s="95" t="s">
        <v>33</v>
      </c>
      <c r="U4" s="95" t="s">
        <v>33</v>
      </c>
      <c r="V4" s="95" t="s">
        <v>33</v>
      </c>
      <c r="W4" s="95" t="s">
        <v>33</v>
      </c>
      <c r="X4" s="95" t="s">
        <v>33</v>
      </c>
      <c r="Y4" s="95" t="s">
        <v>33</v>
      </c>
      <c r="Z4" s="95" t="s">
        <v>33</v>
      </c>
      <c r="AA4" s="95" t="s">
        <v>33</v>
      </c>
      <c r="AB4" s="95" t="s">
        <v>33</v>
      </c>
      <c r="AC4" s="95" t="s">
        <v>33</v>
      </c>
    </row>
    <row r="5" spans="3:29" x14ac:dyDescent="0.3">
      <c r="C5" s="94" t="s">
        <v>239</v>
      </c>
      <c r="D5" s="95" t="s">
        <v>29</v>
      </c>
      <c r="E5" s="95">
        <v>8.9</v>
      </c>
      <c r="F5" s="95" t="s">
        <v>233</v>
      </c>
      <c r="G5" s="95" t="s">
        <v>31</v>
      </c>
      <c r="H5" s="95" t="s">
        <v>32</v>
      </c>
      <c r="I5" s="95" t="s">
        <v>33</v>
      </c>
      <c r="J5" s="95" t="s">
        <v>34</v>
      </c>
      <c r="K5" s="95" t="s">
        <v>240</v>
      </c>
      <c r="L5" s="95" t="s">
        <v>36</v>
      </c>
      <c r="M5" s="95">
        <v>2</v>
      </c>
      <c r="N5" s="95">
        <v>80</v>
      </c>
      <c r="O5" s="95">
        <v>300</v>
      </c>
      <c r="P5" s="95" t="s">
        <v>33</v>
      </c>
      <c r="Q5" s="95" t="s">
        <v>33</v>
      </c>
      <c r="R5" s="95" t="s">
        <v>33</v>
      </c>
      <c r="S5" s="95" t="s">
        <v>33</v>
      </c>
      <c r="T5" s="95" t="s">
        <v>33</v>
      </c>
      <c r="U5" s="95" t="s">
        <v>33</v>
      </c>
      <c r="V5" s="95" t="s">
        <v>33</v>
      </c>
      <c r="W5" s="95" t="s">
        <v>33</v>
      </c>
      <c r="X5" s="95" t="s">
        <v>33</v>
      </c>
      <c r="Y5" s="95" t="s">
        <v>33</v>
      </c>
      <c r="Z5" s="95" t="s">
        <v>33</v>
      </c>
      <c r="AA5" s="95" t="s">
        <v>33</v>
      </c>
      <c r="AB5" s="95" t="s">
        <v>33</v>
      </c>
      <c r="AC5" s="95" t="s">
        <v>33</v>
      </c>
    </row>
    <row r="6" spans="3:29" x14ac:dyDescent="0.3">
      <c r="C6" s="94" t="s">
        <v>241</v>
      </c>
      <c r="D6" s="95" t="s">
        <v>29</v>
      </c>
      <c r="E6" s="95">
        <v>8.9</v>
      </c>
      <c r="F6" s="95" t="s">
        <v>233</v>
      </c>
      <c r="G6" s="95" t="s">
        <v>31</v>
      </c>
      <c r="H6" s="95" t="s">
        <v>32</v>
      </c>
      <c r="I6" s="95" t="s">
        <v>33</v>
      </c>
      <c r="J6" s="95" t="s">
        <v>34</v>
      </c>
      <c r="K6" s="95" t="s">
        <v>242</v>
      </c>
      <c r="L6" s="95" t="s">
        <v>36</v>
      </c>
      <c r="M6" s="95">
        <v>2</v>
      </c>
      <c r="N6" s="95">
        <v>80</v>
      </c>
      <c r="O6" s="95">
        <v>300</v>
      </c>
      <c r="P6" s="95" t="s">
        <v>33</v>
      </c>
      <c r="Q6" s="95" t="s">
        <v>33</v>
      </c>
      <c r="R6" s="95" t="s">
        <v>33</v>
      </c>
      <c r="S6" s="95" t="s">
        <v>33</v>
      </c>
      <c r="T6" s="95" t="s">
        <v>33</v>
      </c>
      <c r="U6" s="95" t="s">
        <v>33</v>
      </c>
      <c r="V6" s="95" t="s">
        <v>33</v>
      </c>
      <c r="W6" s="95" t="s">
        <v>33</v>
      </c>
      <c r="X6" s="95" t="s">
        <v>33</v>
      </c>
      <c r="Y6" s="95" t="s">
        <v>33</v>
      </c>
      <c r="Z6" s="95" t="s">
        <v>33</v>
      </c>
      <c r="AA6" s="95" t="s">
        <v>33</v>
      </c>
      <c r="AB6" s="95" t="s">
        <v>33</v>
      </c>
      <c r="AC6" s="95" t="s">
        <v>33</v>
      </c>
    </row>
    <row r="7" spans="3:29" x14ac:dyDescent="0.3">
      <c r="C7" s="94" t="s">
        <v>243</v>
      </c>
      <c r="D7" s="95" t="s">
        <v>29</v>
      </c>
      <c r="E7" s="95">
        <v>8.9</v>
      </c>
      <c r="F7" s="95" t="s">
        <v>233</v>
      </c>
      <c r="G7" s="95" t="s">
        <v>31</v>
      </c>
      <c r="H7" s="95" t="s">
        <v>32</v>
      </c>
      <c r="I7" s="95" t="s">
        <v>33</v>
      </c>
      <c r="J7" s="95" t="s">
        <v>34</v>
      </c>
      <c r="K7" s="95" t="s">
        <v>244</v>
      </c>
      <c r="L7" s="95" t="s">
        <v>36</v>
      </c>
      <c r="M7" s="95">
        <v>2</v>
      </c>
      <c r="N7" s="95">
        <v>80</v>
      </c>
      <c r="O7" s="95">
        <v>300</v>
      </c>
      <c r="P7" s="95" t="s">
        <v>33</v>
      </c>
      <c r="Q7" s="95" t="s">
        <v>33</v>
      </c>
      <c r="R7" s="95" t="s">
        <v>33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</row>
    <row r="8" spans="3:29" x14ac:dyDescent="0.3">
      <c r="C8" s="94" t="s">
        <v>245</v>
      </c>
      <c r="D8" s="95" t="s">
        <v>29</v>
      </c>
      <c r="E8" s="95">
        <v>8.9</v>
      </c>
      <c r="F8" s="95" t="s">
        <v>233</v>
      </c>
      <c r="G8" s="95" t="s">
        <v>31</v>
      </c>
      <c r="H8" s="95" t="s">
        <v>32</v>
      </c>
      <c r="I8" s="95" t="s">
        <v>33</v>
      </c>
      <c r="J8" s="95" t="s">
        <v>34</v>
      </c>
      <c r="K8" s="95" t="s">
        <v>246</v>
      </c>
      <c r="L8" s="95" t="s">
        <v>36</v>
      </c>
      <c r="M8" s="95">
        <v>2</v>
      </c>
      <c r="N8" s="95">
        <v>40</v>
      </c>
      <c r="O8" s="95">
        <v>300</v>
      </c>
      <c r="P8" s="95" t="s">
        <v>33</v>
      </c>
      <c r="Q8" s="95" t="s">
        <v>33</v>
      </c>
      <c r="R8" s="95" t="s">
        <v>33</v>
      </c>
      <c r="S8" s="95" t="s">
        <v>33</v>
      </c>
      <c r="T8" s="95" t="s">
        <v>33</v>
      </c>
      <c r="U8" s="95" t="s">
        <v>33</v>
      </c>
      <c r="V8" s="95" t="s">
        <v>33</v>
      </c>
      <c r="W8" s="95" t="s">
        <v>33</v>
      </c>
      <c r="X8" s="95" t="s">
        <v>33</v>
      </c>
      <c r="Y8" s="95" t="s">
        <v>33</v>
      </c>
      <c r="Z8" s="95" t="s">
        <v>33</v>
      </c>
      <c r="AA8" s="95" t="s">
        <v>33</v>
      </c>
      <c r="AB8" s="95" t="s">
        <v>33</v>
      </c>
      <c r="AC8" s="95" t="s">
        <v>33</v>
      </c>
    </row>
    <row r="9" spans="3:29" x14ac:dyDescent="0.3">
      <c r="C9" s="94" t="s">
        <v>247</v>
      </c>
      <c r="D9" s="95" t="s">
        <v>29</v>
      </c>
      <c r="E9" s="95">
        <v>8.9</v>
      </c>
      <c r="F9" s="95" t="s">
        <v>233</v>
      </c>
      <c r="G9" s="95" t="s">
        <v>31</v>
      </c>
      <c r="H9" s="95" t="s">
        <v>32</v>
      </c>
      <c r="I9" s="95" t="s">
        <v>33</v>
      </c>
      <c r="J9" s="95" t="s">
        <v>34</v>
      </c>
      <c r="K9" s="95" t="s">
        <v>248</v>
      </c>
      <c r="L9" s="95" t="s">
        <v>36</v>
      </c>
      <c r="M9" s="95">
        <v>2</v>
      </c>
      <c r="N9" s="95">
        <v>60</v>
      </c>
      <c r="O9" s="95">
        <v>300</v>
      </c>
      <c r="P9" s="95" t="s">
        <v>33</v>
      </c>
      <c r="Q9" s="95" t="s">
        <v>33</v>
      </c>
      <c r="R9" s="95" t="s">
        <v>33</v>
      </c>
      <c r="S9" s="95" t="s">
        <v>33</v>
      </c>
      <c r="T9" s="95" t="s">
        <v>33</v>
      </c>
      <c r="U9" s="95" t="s">
        <v>33</v>
      </c>
      <c r="V9" s="95" t="s">
        <v>33</v>
      </c>
      <c r="W9" s="95" t="s">
        <v>33</v>
      </c>
      <c r="X9" s="95" t="s">
        <v>33</v>
      </c>
      <c r="Y9" s="95" t="s">
        <v>33</v>
      </c>
      <c r="Z9" s="95" t="s">
        <v>33</v>
      </c>
      <c r="AA9" s="95" t="s">
        <v>33</v>
      </c>
      <c r="AB9" s="95" t="s">
        <v>33</v>
      </c>
      <c r="AC9" s="95" t="s">
        <v>33</v>
      </c>
    </row>
    <row r="10" spans="3:29" ht="30" x14ac:dyDescent="0.3">
      <c r="C10" s="96" t="s">
        <v>249</v>
      </c>
      <c r="D10" s="109" t="s">
        <v>29</v>
      </c>
      <c r="E10" s="107">
        <v>9</v>
      </c>
      <c r="F10" s="95" t="s">
        <v>233</v>
      </c>
      <c r="G10" s="66" t="s">
        <v>72</v>
      </c>
      <c r="H10" s="66" t="s">
        <v>73</v>
      </c>
      <c r="I10" s="66"/>
      <c r="J10" s="66" t="s">
        <v>74</v>
      </c>
      <c r="K10" s="111" t="s">
        <v>75</v>
      </c>
      <c r="L10" s="109" t="s">
        <v>76</v>
      </c>
      <c r="M10" s="111">
        <v>8</v>
      </c>
      <c r="N10" s="112">
        <v>16</v>
      </c>
      <c r="O10" s="113">
        <v>800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spans="3:29" ht="30" x14ac:dyDescent="0.3">
      <c r="C11" s="97" t="s">
        <v>250</v>
      </c>
      <c r="D11" s="110" t="s">
        <v>29</v>
      </c>
      <c r="E11" s="107">
        <v>9</v>
      </c>
      <c r="F11" s="95" t="s">
        <v>233</v>
      </c>
      <c r="G11" s="66" t="s">
        <v>72</v>
      </c>
      <c r="H11" s="66" t="s">
        <v>73</v>
      </c>
      <c r="I11" s="66"/>
      <c r="J11" s="66" t="s">
        <v>74</v>
      </c>
      <c r="K11" s="114" t="s">
        <v>75</v>
      </c>
      <c r="L11" s="110" t="s">
        <v>78</v>
      </c>
      <c r="M11" s="114">
        <v>8</v>
      </c>
      <c r="N11" s="115">
        <v>20</v>
      </c>
      <c r="O11" s="116">
        <v>800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spans="3:29" ht="30" x14ac:dyDescent="0.3">
      <c r="C12" s="97" t="s">
        <v>251</v>
      </c>
      <c r="D12" s="110" t="s">
        <v>80</v>
      </c>
      <c r="E12" s="108">
        <v>2022</v>
      </c>
      <c r="F12" s="95" t="s">
        <v>233</v>
      </c>
      <c r="G12" s="66" t="s">
        <v>72</v>
      </c>
      <c r="H12" s="66" t="s">
        <v>73</v>
      </c>
      <c r="I12" s="66"/>
      <c r="J12" s="66" t="s">
        <v>74</v>
      </c>
      <c r="K12" s="114" t="s">
        <v>81</v>
      </c>
      <c r="L12" s="114" t="s">
        <v>82</v>
      </c>
      <c r="M12" s="114">
        <v>8</v>
      </c>
      <c r="N12" s="115">
        <v>36</v>
      </c>
      <c r="O12" s="116">
        <v>300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spans="3:29" x14ac:dyDescent="0.3">
      <c r="C13" s="97" t="s">
        <v>252</v>
      </c>
      <c r="D13" s="97" t="s">
        <v>29</v>
      </c>
      <c r="E13" s="107">
        <v>9</v>
      </c>
      <c r="F13" s="95" t="s">
        <v>233</v>
      </c>
      <c r="G13" s="66" t="s">
        <v>72</v>
      </c>
      <c r="H13" s="66" t="s">
        <v>73</v>
      </c>
      <c r="I13" s="66"/>
      <c r="J13" s="66" t="s">
        <v>74</v>
      </c>
      <c r="K13" s="114" t="s">
        <v>84</v>
      </c>
      <c r="L13" s="114" t="s">
        <v>85</v>
      </c>
      <c r="M13" s="114">
        <v>8</v>
      </c>
      <c r="N13" s="115">
        <v>20</v>
      </c>
      <c r="O13" s="116">
        <v>300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spans="3:29" x14ac:dyDescent="0.3">
      <c r="C14" s="97" t="s">
        <v>253</v>
      </c>
      <c r="D14" s="97" t="s">
        <v>29</v>
      </c>
      <c r="E14" s="107">
        <v>9</v>
      </c>
      <c r="F14" s="95" t="s">
        <v>233</v>
      </c>
      <c r="G14" s="66" t="s">
        <v>72</v>
      </c>
      <c r="H14" s="66" t="s">
        <v>73</v>
      </c>
      <c r="I14" s="66"/>
      <c r="J14" s="66" t="s">
        <v>74</v>
      </c>
      <c r="K14" s="114" t="s">
        <v>87</v>
      </c>
      <c r="L14" s="110" t="s">
        <v>88</v>
      </c>
      <c r="M14" s="114">
        <v>24</v>
      </c>
      <c r="N14" s="115">
        <v>48</v>
      </c>
      <c r="O14" s="116">
        <v>1500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spans="3:29" x14ac:dyDescent="0.3">
      <c r="C15" s="97" t="s">
        <v>254</v>
      </c>
      <c r="D15" s="97" t="s">
        <v>29</v>
      </c>
      <c r="E15" s="107">
        <v>9</v>
      </c>
      <c r="F15" s="95" t="s">
        <v>233</v>
      </c>
      <c r="G15" s="66" t="s">
        <v>72</v>
      </c>
      <c r="H15" s="66" t="s">
        <v>73</v>
      </c>
      <c r="I15" s="66"/>
      <c r="J15" s="66" t="s">
        <v>74</v>
      </c>
      <c r="K15" s="114" t="s">
        <v>87</v>
      </c>
      <c r="L15" s="110" t="s">
        <v>90</v>
      </c>
      <c r="M15" s="114">
        <v>8</v>
      </c>
      <c r="N15" s="115">
        <v>64</v>
      </c>
      <c r="O15" s="116">
        <v>1000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spans="3:29" ht="30" x14ac:dyDescent="0.3">
      <c r="C16" s="110" t="s">
        <v>255</v>
      </c>
      <c r="D16" s="110" t="s">
        <v>29</v>
      </c>
      <c r="E16" s="107">
        <v>9</v>
      </c>
      <c r="F16" s="95" t="s">
        <v>233</v>
      </c>
      <c r="G16" s="66" t="s">
        <v>72</v>
      </c>
      <c r="H16" s="66" t="s">
        <v>73</v>
      </c>
      <c r="I16" s="66"/>
      <c r="J16" s="66" t="s">
        <v>74</v>
      </c>
      <c r="K16" s="114" t="s">
        <v>92</v>
      </c>
      <c r="L16" s="110" t="s">
        <v>93</v>
      </c>
      <c r="M16" s="110">
        <v>8</v>
      </c>
      <c r="N16" s="116">
        <v>32</v>
      </c>
      <c r="O16" s="116">
        <v>1000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spans="1:34" x14ac:dyDescent="0.3">
      <c r="C17" s="110" t="s">
        <v>256</v>
      </c>
      <c r="D17" s="110" t="s">
        <v>80</v>
      </c>
      <c r="E17" s="108">
        <v>2022</v>
      </c>
      <c r="F17" s="95" t="s">
        <v>233</v>
      </c>
      <c r="G17" s="66" t="s">
        <v>72</v>
      </c>
      <c r="H17" s="66" t="s">
        <v>95</v>
      </c>
      <c r="I17" s="66"/>
      <c r="J17" s="66" t="s">
        <v>74</v>
      </c>
      <c r="K17" s="114" t="s">
        <v>96</v>
      </c>
      <c r="L17" s="110" t="s">
        <v>97</v>
      </c>
      <c r="M17" s="110">
        <v>16</v>
      </c>
      <c r="N17" s="116">
        <v>24</v>
      </c>
      <c r="O17" s="116">
        <v>300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spans="1:34" x14ac:dyDescent="0.3">
      <c r="C18" s="97" t="s">
        <v>257</v>
      </c>
      <c r="D18" s="97" t="s">
        <v>29</v>
      </c>
      <c r="E18" s="107">
        <v>9</v>
      </c>
      <c r="F18" s="95" t="s">
        <v>233</v>
      </c>
      <c r="G18" s="66" t="s">
        <v>72</v>
      </c>
      <c r="H18" s="66" t="s">
        <v>99</v>
      </c>
      <c r="I18" s="66"/>
      <c r="J18" s="66" t="s">
        <v>74</v>
      </c>
      <c r="K18" s="114" t="s">
        <v>100</v>
      </c>
      <c r="L18" s="110" t="s">
        <v>101</v>
      </c>
      <c r="M18" s="114">
        <v>12</v>
      </c>
      <c r="N18" s="115">
        <v>30</v>
      </c>
      <c r="O18" s="116">
        <v>300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spans="1:34" x14ac:dyDescent="0.3">
      <c r="C19" s="97" t="s">
        <v>258</v>
      </c>
      <c r="D19" s="97" t="s">
        <v>29</v>
      </c>
      <c r="E19" s="107">
        <v>9</v>
      </c>
      <c r="F19" s="95" t="s">
        <v>233</v>
      </c>
      <c r="G19" s="66" t="s">
        <v>72</v>
      </c>
      <c r="H19" s="66" t="s">
        <v>99</v>
      </c>
      <c r="I19" s="66"/>
      <c r="J19" s="66" t="s">
        <v>74</v>
      </c>
      <c r="K19" s="114" t="s">
        <v>100</v>
      </c>
      <c r="L19" s="110" t="s">
        <v>103</v>
      </c>
      <c r="M19" s="114">
        <v>8</v>
      </c>
      <c r="N19" s="115">
        <v>24</v>
      </c>
      <c r="O19" s="116">
        <v>300</v>
      </c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spans="1:34" x14ac:dyDescent="0.3">
      <c r="C20" s="97" t="s">
        <v>259</v>
      </c>
      <c r="D20" s="97" t="s">
        <v>29</v>
      </c>
      <c r="E20" s="107">
        <v>9</v>
      </c>
      <c r="F20" s="95" t="s">
        <v>233</v>
      </c>
      <c r="G20" s="66" t="s">
        <v>72</v>
      </c>
      <c r="H20" s="66" t="s">
        <v>99</v>
      </c>
      <c r="I20" s="66"/>
      <c r="J20" s="66" t="s">
        <v>74</v>
      </c>
      <c r="K20" s="114" t="s">
        <v>100</v>
      </c>
      <c r="L20" s="110" t="s">
        <v>105</v>
      </c>
      <c r="M20" s="114">
        <v>8</v>
      </c>
      <c r="N20" s="115">
        <v>16</v>
      </c>
      <c r="O20" s="116">
        <v>300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1:34" ht="30" x14ac:dyDescent="0.3">
      <c r="C21" s="97" t="s">
        <v>260</v>
      </c>
      <c r="D21" s="97" t="s">
        <v>29</v>
      </c>
      <c r="E21" s="107">
        <v>9</v>
      </c>
      <c r="F21" s="95" t="s">
        <v>233</v>
      </c>
      <c r="G21" s="66" t="s">
        <v>107</v>
      </c>
      <c r="H21" s="66" t="s">
        <v>73</v>
      </c>
      <c r="I21" s="66"/>
      <c r="J21" s="66" t="s">
        <v>74</v>
      </c>
      <c r="K21" s="114" t="s">
        <v>75</v>
      </c>
      <c r="L21" s="110" t="s">
        <v>108</v>
      </c>
      <c r="M21" s="114">
        <v>8</v>
      </c>
      <c r="N21" s="115">
        <v>24</v>
      </c>
      <c r="O21" s="116">
        <v>800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1:34" ht="30" x14ac:dyDescent="0.3">
      <c r="C22" s="97" t="s">
        <v>261</v>
      </c>
      <c r="D22" s="110" t="s">
        <v>80</v>
      </c>
      <c r="E22" s="108">
        <v>2022</v>
      </c>
      <c r="F22" s="95" t="s">
        <v>233</v>
      </c>
      <c r="G22" s="66" t="s">
        <v>107</v>
      </c>
      <c r="H22" s="66" t="s">
        <v>73</v>
      </c>
      <c r="I22" s="66"/>
      <c r="J22" s="66" t="s">
        <v>74</v>
      </c>
      <c r="K22" s="114" t="s">
        <v>81</v>
      </c>
      <c r="L22" s="114" t="s">
        <v>82</v>
      </c>
      <c r="M22" s="114">
        <v>8</v>
      </c>
      <c r="N22" s="115">
        <v>36</v>
      </c>
      <c r="O22" s="116">
        <v>300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1:34" x14ac:dyDescent="0.3">
      <c r="C23" s="97" t="s">
        <v>262</v>
      </c>
      <c r="D23" s="97" t="s">
        <v>29</v>
      </c>
      <c r="E23" s="107">
        <v>9</v>
      </c>
      <c r="F23" s="95" t="s">
        <v>233</v>
      </c>
      <c r="G23" s="66" t="s">
        <v>107</v>
      </c>
      <c r="H23" s="66" t="s">
        <v>73</v>
      </c>
      <c r="I23" s="66"/>
      <c r="J23" s="66" t="s">
        <v>74</v>
      </c>
      <c r="K23" s="114" t="s">
        <v>84</v>
      </c>
      <c r="L23" s="114" t="s">
        <v>85</v>
      </c>
      <c r="M23" s="114">
        <v>8</v>
      </c>
      <c r="N23" s="115">
        <v>20</v>
      </c>
      <c r="O23" s="116">
        <v>300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1:34" x14ac:dyDescent="0.3">
      <c r="C24" s="97" t="s">
        <v>263</v>
      </c>
      <c r="D24" s="97" t="s">
        <v>29</v>
      </c>
      <c r="E24" s="107">
        <v>9</v>
      </c>
      <c r="F24" s="95" t="s">
        <v>233</v>
      </c>
      <c r="G24" s="66" t="s">
        <v>107</v>
      </c>
      <c r="H24" s="66" t="s">
        <v>73</v>
      </c>
      <c r="I24" s="66"/>
      <c r="J24" s="66" t="s">
        <v>74</v>
      </c>
      <c r="K24" s="114" t="s">
        <v>87</v>
      </c>
      <c r="L24" s="110" t="s">
        <v>88</v>
      </c>
      <c r="M24" s="114">
        <v>24</v>
      </c>
      <c r="N24" s="115">
        <v>48</v>
      </c>
      <c r="O24" s="116">
        <v>1000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1:34" x14ac:dyDescent="0.3">
      <c r="C25" s="97" t="s">
        <v>264</v>
      </c>
      <c r="D25" s="97" t="s">
        <v>29</v>
      </c>
      <c r="E25" s="107">
        <v>9</v>
      </c>
      <c r="F25" s="95" t="s">
        <v>233</v>
      </c>
      <c r="G25" s="66" t="s">
        <v>107</v>
      </c>
      <c r="H25" s="66" t="s">
        <v>73</v>
      </c>
      <c r="I25" s="66"/>
      <c r="J25" s="66" t="s">
        <v>74</v>
      </c>
      <c r="K25" s="114" t="s">
        <v>87</v>
      </c>
      <c r="L25" s="110" t="s">
        <v>90</v>
      </c>
      <c r="M25" s="114">
        <v>8</v>
      </c>
      <c r="N25" s="115">
        <v>48</v>
      </c>
      <c r="O25" s="116">
        <v>1000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1:34" x14ac:dyDescent="0.3">
      <c r="C26" s="97" t="s">
        <v>265</v>
      </c>
      <c r="D26" s="97" t="s">
        <v>29</v>
      </c>
      <c r="E26" s="107">
        <v>9</v>
      </c>
      <c r="F26" s="95" t="s">
        <v>233</v>
      </c>
      <c r="G26" s="66" t="s">
        <v>107</v>
      </c>
      <c r="H26" s="66" t="s">
        <v>99</v>
      </c>
      <c r="I26" s="66"/>
      <c r="J26" s="66" t="s">
        <v>74</v>
      </c>
      <c r="K26" s="114" t="s">
        <v>100</v>
      </c>
      <c r="L26" s="110" t="s">
        <v>101</v>
      </c>
      <c r="M26" s="114">
        <v>12</v>
      </c>
      <c r="N26" s="115">
        <v>30</v>
      </c>
      <c r="O26" s="116">
        <v>300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1:34" x14ac:dyDescent="0.3">
      <c r="C27" s="97" t="s">
        <v>266</v>
      </c>
      <c r="D27" s="97" t="s">
        <v>29</v>
      </c>
      <c r="E27" s="107">
        <v>9</v>
      </c>
      <c r="F27" s="95" t="s">
        <v>233</v>
      </c>
      <c r="G27" s="66" t="s">
        <v>107</v>
      </c>
      <c r="H27" s="66" t="s">
        <v>99</v>
      </c>
      <c r="I27" s="66"/>
      <c r="J27" s="66" t="s">
        <v>74</v>
      </c>
      <c r="K27" s="114" t="s">
        <v>100</v>
      </c>
      <c r="L27" s="110" t="s">
        <v>103</v>
      </c>
      <c r="M27" s="114">
        <v>8</v>
      </c>
      <c r="N27" s="115">
        <v>24</v>
      </c>
      <c r="O27" s="116">
        <v>300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1:34" x14ac:dyDescent="0.3">
      <c r="C28" s="97" t="s">
        <v>267</v>
      </c>
      <c r="D28" s="97" t="s">
        <v>29</v>
      </c>
      <c r="E28" s="107">
        <v>9</v>
      </c>
      <c r="F28" s="95" t="s">
        <v>233</v>
      </c>
      <c r="G28" s="66" t="s">
        <v>107</v>
      </c>
      <c r="H28" s="66" t="s">
        <v>99</v>
      </c>
      <c r="I28" s="66"/>
      <c r="J28" s="66" t="s">
        <v>74</v>
      </c>
      <c r="K28" s="114" t="s">
        <v>100</v>
      </c>
      <c r="L28" s="110" t="s">
        <v>105</v>
      </c>
      <c r="M28" s="114">
        <v>8</v>
      </c>
      <c r="N28" s="115">
        <v>16</v>
      </c>
      <c r="O28" s="116">
        <v>300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1:34" ht="30" x14ac:dyDescent="0.3">
      <c r="A29" s="146" t="s">
        <v>131</v>
      </c>
      <c r="B29" s="2" t="s">
        <v>132</v>
      </c>
      <c r="C29" s="132" t="s">
        <v>268</v>
      </c>
      <c r="D29" s="132" t="s">
        <v>125</v>
      </c>
      <c r="E29" s="133">
        <v>2022</v>
      </c>
      <c r="F29" s="132" t="s">
        <v>269</v>
      </c>
      <c r="G29" s="132" t="s">
        <v>72</v>
      </c>
      <c r="H29" s="132" t="s">
        <v>134</v>
      </c>
      <c r="I29" s="132"/>
      <c r="J29" s="132" t="s">
        <v>135</v>
      </c>
      <c r="K29" s="132" t="s">
        <v>270</v>
      </c>
      <c r="L29" s="132"/>
      <c r="M29" s="133">
        <v>12</v>
      </c>
      <c r="N29" s="133">
        <v>24</v>
      </c>
      <c r="O29" s="133">
        <v>100</v>
      </c>
      <c r="P29" s="132"/>
      <c r="Q29" s="132" t="s">
        <v>271</v>
      </c>
      <c r="R29" s="132"/>
      <c r="S29" s="132" t="s">
        <v>138</v>
      </c>
      <c r="T29" s="132"/>
      <c r="U29" s="132"/>
      <c r="V29" s="132"/>
      <c r="W29" s="132"/>
      <c r="X29" s="132"/>
      <c r="Y29" s="132"/>
      <c r="Z29" s="132"/>
      <c r="AA29" s="132"/>
      <c r="AB29" s="132"/>
      <c r="AC29" s="132" t="s">
        <v>139</v>
      </c>
      <c r="AD29" s="135"/>
    </row>
    <row r="30" spans="1:34" ht="30" x14ac:dyDescent="0.3">
      <c r="A30" s="146" t="s">
        <v>131</v>
      </c>
      <c r="B30" s="2" t="s">
        <v>140</v>
      </c>
      <c r="C30" s="132" t="s">
        <v>272</v>
      </c>
      <c r="D30" s="132" t="s">
        <v>125</v>
      </c>
      <c r="E30" s="133">
        <v>2022</v>
      </c>
      <c r="F30" s="132" t="s">
        <v>269</v>
      </c>
      <c r="G30" s="132" t="s">
        <v>72</v>
      </c>
      <c r="H30" s="132" t="s">
        <v>134</v>
      </c>
      <c r="I30" s="132"/>
      <c r="J30" s="132" t="s">
        <v>135</v>
      </c>
      <c r="K30" s="132" t="s">
        <v>270</v>
      </c>
      <c r="L30" s="132"/>
      <c r="M30" s="133">
        <v>12</v>
      </c>
      <c r="N30" s="133">
        <v>24</v>
      </c>
      <c r="O30" s="133">
        <v>600</v>
      </c>
      <c r="P30" s="132"/>
      <c r="Q30" s="132" t="s">
        <v>273</v>
      </c>
      <c r="R30" s="132"/>
      <c r="S30" s="132" t="s">
        <v>138</v>
      </c>
      <c r="T30" s="132"/>
      <c r="U30" s="132"/>
      <c r="V30" s="132"/>
      <c r="W30" s="132"/>
      <c r="X30" s="132"/>
      <c r="Y30" s="132"/>
      <c r="Z30" s="132"/>
      <c r="AA30" s="132"/>
      <c r="AB30" s="132"/>
      <c r="AC30" s="132" t="s">
        <v>139</v>
      </c>
    </row>
    <row r="31" spans="1:34" ht="30" x14ac:dyDescent="0.3">
      <c r="A31" s="146" t="s">
        <v>131</v>
      </c>
      <c r="B31" s="2" t="s">
        <v>143</v>
      </c>
      <c r="C31" s="132" t="s">
        <v>274</v>
      </c>
      <c r="D31" s="132" t="s">
        <v>125</v>
      </c>
      <c r="E31" s="133">
        <v>2022</v>
      </c>
      <c r="F31" s="134" t="s">
        <v>233</v>
      </c>
      <c r="G31" s="132" t="s">
        <v>72</v>
      </c>
      <c r="H31" s="132" t="s">
        <v>134</v>
      </c>
      <c r="I31" s="132"/>
      <c r="J31" s="132" t="s">
        <v>135</v>
      </c>
      <c r="K31" s="132" t="s">
        <v>270</v>
      </c>
      <c r="L31" s="132"/>
      <c r="M31" s="133">
        <v>12</v>
      </c>
      <c r="N31" s="133">
        <v>24</v>
      </c>
      <c r="O31" s="133">
        <v>600</v>
      </c>
      <c r="P31" s="132"/>
      <c r="Q31" s="132" t="s">
        <v>275</v>
      </c>
      <c r="R31" s="132"/>
      <c r="S31" s="132" t="s">
        <v>138</v>
      </c>
      <c r="T31" s="132"/>
      <c r="U31" s="132"/>
      <c r="V31" s="132"/>
      <c r="W31" s="132"/>
      <c r="X31" s="132"/>
      <c r="Y31" s="132"/>
      <c r="Z31" s="132"/>
      <c r="AA31" s="132"/>
      <c r="AB31" s="132"/>
      <c r="AC31" s="132" t="s">
        <v>139</v>
      </c>
      <c r="AD31" s="135"/>
    </row>
    <row r="32" spans="1:34" ht="30" x14ac:dyDescent="0.3">
      <c r="A32" s="146" t="s">
        <v>131</v>
      </c>
      <c r="B32" s="2" t="s">
        <v>146</v>
      </c>
      <c r="C32" s="129" t="s">
        <v>276</v>
      </c>
      <c r="D32" s="129" t="s">
        <v>125</v>
      </c>
      <c r="E32" s="130">
        <v>2022</v>
      </c>
      <c r="F32" s="131" t="s">
        <v>233</v>
      </c>
      <c r="G32" s="129" t="s">
        <v>72</v>
      </c>
      <c r="H32" s="129" t="s">
        <v>134</v>
      </c>
      <c r="I32" s="129"/>
      <c r="J32" s="129" t="s">
        <v>158</v>
      </c>
      <c r="K32" s="129" t="s">
        <v>277</v>
      </c>
      <c r="L32" s="136"/>
      <c r="M32" s="130">
        <v>12</v>
      </c>
      <c r="N32" s="130">
        <v>24</v>
      </c>
      <c r="O32" s="130">
        <v>600</v>
      </c>
      <c r="P32" s="129"/>
      <c r="Q32" s="132" t="s">
        <v>278</v>
      </c>
      <c r="R32" s="136"/>
      <c r="S32" s="136" t="s">
        <v>161</v>
      </c>
      <c r="T32" s="136"/>
      <c r="U32" s="136"/>
      <c r="V32" s="136"/>
      <c r="W32" s="136"/>
      <c r="X32" s="136"/>
      <c r="Y32" s="136"/>
      <c r="Z32" s="136"/>
      <c r="AA32" s="136"/>
      <c r="AB32" s="136"/>
      <c r="AC32" s="136" t="s">
        <v>139</v>
      </c>
      <c r="AD32" s="137"/>
      <c r="AE32" s="137"/>
      <c r="AF32" s="137"/>
      <c r="AG32" s="137"/>
      <c r="AH32" s="137"/>
    </row>
    <row r="33" spans="1:34" ht="30" x14ac:dyDescent="0.3">
      <c r="A33" s="146" t="s">
        <v>131</v>
      </c>
      <c r="B33" s="2" t="s">
        <v>150</v>
      </c>
      <c r="C33" s="129" t="s">
        <v>279</v>
      </c>
      <c r="D33" s="129" t="s">
        <v>125</v>
      </c>
      <c r="E33" s="130">
        <v>2022</v>
      </c>
      <c r="F33" s="131" t="s">
        <v>233</v>
      </c>
      <c r="G33" s="129" t="s">
        <v>72</v>
      </c>
      <c r="H33" s="129" t="s">
        <v>134</v>
      </c>
      <c r="I33" s="129"/>
      <c r="J33" s="129" t="s">
        <v>164</v>
      </c>
      <c r="K33" s="129" t="s">
        <v>280</v>
      </c>
      <c r="L33" s="136"/>
      <c r="M33" s="130">
        <v>12</v>
      </c>
      <c r="N33" s="130">
        <v>24</v>
      </c>
      <c r="O33" s="130">
        <v>600</v>
      </c>
      <c r="P33" s="129"/>
      <c r="Q33" s="132" t="s">
        <v>281</v>
      </c>
      <c r="R33" s="136"/>
      <c r="S33" s="136" t="s">
        <v>161</v>
      </c>
      <c r="T33" s="136"/>
      <c r="U33" s="136"/>
      <c r="V33" s="136"/>
      <c r="W33" s="136"/>
      <c r="X33" s="136"/>
      <c r="Y33" s="136"/>
      <c r="Z33" s="136"/>
      <c r="AA33" s="136"/>
      <c r="AB33" s="136"/>
      <c r="AC33" s="136" t="s">
        <v>139</v>
      </c>
      <c r="AD33" s="137"/>
      <c r="AE33" s="137"/>
      <c r="AF33" s="137"/>
      <c r="AG33" s="137"/>
      <c r="AH33" s="137"/>
    </row>
    <row r="34" spans="1:34" ht="30" x14ac:dyDescent="0.3">
      <c r="A34" s="146" t="s">
        <v>131</v>
      </c>
      <c r="B34" s="2" t="s">
        <v>153</v>
      </c>
      <c r="C34" s="129" t="s">
        <v>282</v>
      </c>
      <c r="D34" s="129" t="s">
        <v>125</v>
      </c>
      <c r="E34" s="130">
        <v>2022</v>
      </c>
      <c r="F34" s="131" t="s">
        <v>233</v>
      </c>
      <c r="G34" s="129" t="s">
        <v>72</v>
      </c>
      <c r="H34" s="129" t="s">
        <v>134</v>
      </c>
      <c r="I34" s="129"/>
      <c r="J34" s="129" t="s">
        <v>169</v>
      </c>
      <c r="K34" s="129" t="s">
        <v>283</v>
      </c>
      <c r="L34" s="136"/>
      <c r="M34" s="130">
        <v>12</v>
      </c>
      <c r="N34" s="130">
        <v>24</v>
      </c>
      <c r="O34" s="130">
        <v>600</v>
      </c>
      <c r="P34" s="129"/>
      <c r="Q34" s="132" t="s">
        <v>284</v>
      </c>
      <c r="R34" s="136"/>
      <c r="S34" s="136" t="s">
        <v>161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 t="s">
        <v>139</v>
      </c>
      <c r="AD34" s="137"/>
      <c r="AE34" s="137"/>
      <c r="AF34" s="137"/>
      <c r="AG34" s="137"/>
      <c r="AH34" s="137"/>
    </row>
    <row r="35" spans="1:34" ht="30" x14ac:dyDescent="0.3">
      <c r="A35" s="146" t="s">
        <v>131</v>
      </c>
      <c r="B35" s="2" t="s">
        <v>156</v>
      </c>
      <c r="C35" s="129" t="s">
        <v>285</v>
      </c>
      <c r="D35" s="129" t="s">
        <v>125</v>
      </c>
      <c r="E35" s="130">
        <v>2022</v>
      </c>
      <c r="F35" s="131" t="s">
        <v>233</v>
      </c>
      <c r="G35" s="129" t="s">
        <v>72</v>
      </c>
      <c r="H35" s="129" t="s">
        <v>134</v>
      </c>
      <c r="I35" s="129"/>
      <c r="J35" s="129" t="s">
        <v>174</v>
      </c>
      <c r="K35" s="129" t="s">
        <v>286</v>
      </c>
      <c r="L35" s="136"/>
      <c r="M35" s="130">
        <v>12</v>
      </c>
      <c r="N35" s="130">
        <v>24</v>
      </c>
      <c r="O35" s="130">
        <v>600</v>
      </c>
      <c r="P35" s="129"/>
      <c r="Q35" s="132" t="s">
        <v>287</v>
      </c>
      <c r="R35" s="136"/>
      <c r="S35" s="136" t="s">
        <v>161</v>
      </c>
      <c r="T35" s="136"/>
      <c r="U35" s="136"/>
      <c r="V35" s="136"/>
      <c r="W35" s="136"/>
      <c r="X35" s="136"/>
      <c r="Y35" s="136"/>
      <c r="Z35" s="136"/>
      <c r="AA35" s="136"/>
      <c r="AB35" s="136"/>
      <c r="AC35" s="136" t="s">
        <v>139</v>
      </c>
      <c r="AD35" s="137"/>
      <c r="AE35" s="137"/>
      <c r="AF35" s="137"/>
      <c r="AG35" s="137"/>
      <c r="AH35" s="137"/>
    </row>
    <row r="36" spans="1:34" ht="30" x14ac:dyDescent="0.3">
      <c r="A36" s="146" t="s">
        <v>131</v>
      </c>
      <c r="B36" s="2" t="s">
        <v>162</v>
      </c>
      <c r="C36" s="129" t="s">
        <v>288</v>
      </c>
      <c r="D36" s="129" t="s">
        <v>125</v>
      </c>
      <c r="E36" s="130">
        <v>2022</v>
      </c>
      <c r="F36" s="131" t="s">
        <v>233</v>
      </c>
      <c r="G36" s="129" t="s">
        <v>72</v>
      </c>
      <c r="H36" s="129" t="s">
        <v>134</v>
      </c>
      <c r="I36" s="129"/>
      <c r="J36" s="129" t="s">
        <v>179</v>
      </c>
      <c r="K36" s="129" t="s">
        <v>289</v>
      </c>
      <c r="L36" s="136"/>
      <c r="M36" s="130">
        <v>12</v>
      </c>
      <c r="N36" s="130">
        <v>24</v>
      </c>
      <c r="O36" s="130">
        <v>600</v>
      </c>
      <c r="P36" s="129"/>
      <c r="Q36" s="132" t="s">
        <v>290</v>
      </c>
      <c r="R36" s="136"/>
      <c r="S36" s="136" t="s">
        <v>161</v>
      </c>
      <c r="T36" s="136"/>
      <c r="U36" s="136"/>
      <c r="V36" s="136"/>
      <c r="W36" s="136"/>
      <c r="X36" s="136"/>
      <c r="Y36" s="136"/>
      <c r="Z36" s="136"/>
      <c r="AA36" s="136"/>
      <c r="AB36" s="136"/>
      <c r="AC36" s="136" t="s">
        <v>139</v>
      </c>
      <c r="AD36" s="137"/>
      <c r="AE36" s="137"/>
      <c r="AF36" s="137"/>
      <c r="AG36" s="137"/>
      <c r="AH36" s="137"/>
    </row>
    <row r="37" spans="1:34" ht="31.95" customHeight="1" x14ac:dyDescent="0.3">
      <c r="B37" s="2" t="s">
        <v>207</v>
      </c>
      <c r="C37" s="132" t="s">
        <v>291</v>
      </c>
      <c r="D37" s="132" t="s">
        <v>117</v>
      </c>
      <c r="E37" s="133">
        <v>9.4</v>
      </c>
      <c r="F37" s="134" t="s">
        <v>233</v>
      </c>
      <c r="G37" s="132" t="s">
        <v>147</v>
      </c>
      <c r="H37" s="132" t="s">
        <v>209</v>
      </c>
      <c r="I37" s="132"/>
      <c r="J37" s="132" t="s">
        <v>135</v>
      </c>
      <c r="K37" s="132" t="s">
        <v>209</v>
      </c>
      <c r="L37" s="132"/>
      <c r="M37" s="133">
        <v>4</v>
      </c>
      <c r="N37" s="133">
        <v>16</v>
      </c>
      <c r="O37" s="133">
        <v>400</v>
      </c>
      <c r="P37" s="132"/>
      <c r="Q37" s="132" t="s">
        <v>292</v>
      </c>
      <c r="R37" s="132"/>
      <c r="S37" s="132" t="s">
        <v>211</v>
      </c>
      <c r="T37" s="132"/>
      <c r="U37" s="132"/>
      <c r="V37" s="132"/>
      <c r="W37" s="132"/>
      <c r="X37" s="132"/>
      <c r="Y37" s="132"/>
      <c r="Z37" s="132"/>
      <c r="AA37" s="132"/>
      <c r="AB37" s="132"/>
      <c r="AC37" s="132" t="s">
        <v>212</v>
      </c>
    </row>
    <row r="38" spans="1:34" ht="37.799999999999997" customHeight="1" x14ac:dyDescent="0.3">
      <c r="B38" s="2" t="s">
        <v>214</v>
      </c>
      <c r="C38" s="132" t="s">
        <v>293</v>
      </c>
      <c r="D38" s="132" t="s">
        <v>117</v>
      </c>
      <c r="E38" s="133">
        <v>9.4</v>
      </c>
      <c r="F38" s="134" t="s">
        <v>233</v>
      </c>
      <c r="G38" s="132" t="s">
        <v>72</v>
      </c>
      <c r="H38" s="132" t="s">
        <v>209</v>
      </c>
      <c r="I38" s="132"/>
      <c r="J38" s="132" t="s">
        <v>135</v>
      </c>
      <c r="K38" s="132" t="s">
        <v>209</v>
      </c>
      <c r="L38" s="132"/>
      <c r="M38" s="133">
        <v>4</v>
      </c>
      <c r="N38" s="133">
        <v>16</v>
      </c>
      <c r="O38" s="133">
        <v>400</v>
      </c>
      <c r="P38" s="132"/>
      <c r="Q38" s="132" t="s">
        <v>294</v>
      </c>
      <c r="R38" s="132"/>
      <c r="S38" s="132" t="s">
        <v>211</v>
      </c>
      <c r="T38" s="132"/>
      <c r="U38" s="132"/>
      <c r="V38" s="132"/>
      <c r="W38" s="132"/>
      <c r="X38" s="132"/>
      <c r="Y38" s="132"/>
      <c r="Z38" s="132"/>
      <c r="AA38" s="132"/>
      <c r="AB38" s="132"/>
      <c r="AC38" s="132" t="s">
        <v>212</v>
      </c>
    </row>
    <row r="39" spans="1:34" ht="30" x14ac:dyDescent="0.3">
      <c r="A39" s="2" t="s">
        <v>131</v>
      </c>
      <c r="B39" s="2" t="s">
        <v>218</v>
      </c>
      <c r="C39" s="132" t="s">
        <v>295</v>
      </c>
      <c r="D39" s="132" t="s">
        <v>117</v>
      </c>
      <c r="E39" s="133">
        <v>9.4</v>
      </c>
      <c r="F39" s="134" t="s">
        <v>233</v>
      </c>
      <c r="G39" s="132" t="s">
        <v>147</v>
      </c>
      <c r="H39" s="132" t="s">
        <v>220</v>
      </c>
      <c r="I39" s="132"/>
      <c r="J39" s="132" t="s">
        <v>135</v>
      </c>
      <c r="K39" s="132" t="s">
        <v>220</v>
      </c>
      <c r="L39" s="132"/>
      <c r="M39" s="133">
        <v>4</v>
      </c>
      <c r="N39" s="133">
        <v>16</v>
      </c>
      <c r="O39" s="133">
        <v>200</v>
      </c>
      <c r="P39" s="132"/>
      <c r="Q39" s="132" t="s">
        <v>296</v>
      </c>
      <c r="R39" s="132"/>
      <c r="S39" s="132" t="s">
        <v>222</v>
      </c>
      <c r="T39" s="132"/>
      <c r="U39" s="132"/>
      <c r="V39" s="132"/>
      <c r="W39" s="132"/>
      <c r="X39" s="132"/>
      <c r="Y39" s="132"/>
      <c r="Z39" s="132"/>
      <c r="AA39" s="132"/>
      <c r="AB39" s="132"/>
      <c r="AC39" s="132" t="s">
        <v>223</v>
      </c>
    </row>
    <row r="40" spans="1:34" ht="32.4" customHeight="1" x14ac:dyDescent="0.3">
      <c r="A40" s="2" t="s">
        <v>131</v>
      </c>
      <c r="B40" s="2" t="s">
        <v>224</v>
      </c>
      <c r="C40" s="132" t="s">
        <v>297</v>
      </c>
      <c r="D40" s="132" t="s">
        <v>117</v>
      </c>
      <c r="E40" s="133">
        <v>9.4</v>
      </c>
      <c r="F40" s="134" t="s">
        <v>233</v>
      </c>
      <c r="G40" s="132" t="s">
        <v>72</v>
      </c>
      <c r="H40" s="132" t="s">
        <v>220</v>
      </c>
      <c r="I40" s="132"/>
      <c r="J40" s="132" t="s">
        <v>135</v>
      </c>
      <c r="K40" s="132" t="s">
        <v>220</v>
      </c>
      <c r="L40" s="132"/>
      <c r="M40" s="133">
        <v>4</v>
      </c>
      <c r="N40" s="133">
        <v>16</v>
      </c>
      <c r="O40" s="133">
        <v>200</v>
      </c>
      <c r="P40" s="132"/>
      <c r="Q40" s="132" t="s">
        <v>298</v>
      </c>
      <c r="R40" s="132"/>
      <c r="S40" s="132" t="s">
        <v>222</v>
      </c>
      <c r="T40" s="132"/>
      <c r="U40" s="132"/>
      <c r="V40" s="132"/>
      <c r="W40" s="132"/>
      <c r="X40" s="132"/>
      <c r="Y40" s="132"/>
      <c r="Z40" s="132"/>
      <c r="AA40" s="132"/>
      <c r="AB40" s="132"/>
      <c r="AC40" s="132" t="s">
        <v>223</v>
      </c>
    </row>
    <row r="41" spans="1:34" x14ac:dyDescent="0.3"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spans="1:34" x14ac:dyDescent="0.3"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spans="1:34" x14ac:dyDescent="0.3"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spans="1:34" x14ac:dyDescent="0.3"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spans="1:34" x14ac:dyDescent="0.3"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spans="1:34" x14ac:dyDescent="0.3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spans="1:34" x14ac:dyDescent="0.3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spans="1:34" x14ac:dyDescent="0.3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spans="3:29" x14ac:dyDescent="0.3"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3:29" x14ac:dyDescent="0.3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spans="3:29" x14ac:dyDescent="0.3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3:29" x14ac:dyDescent="0.3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3:29" x14ac:dyDescent="0.3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spans="3:29" x14ac:dyDescent="0.3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spans="3:29" x14ac:dyDescent="0.3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spans="3:29" x14ac:dyDescent="0.3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3:29" x14ac:dyDescent="0.3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3:29" x14ac:dyDescent="0.3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spans="3:29" x14ac:dyDescent="0.3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spans="3:29" x14ac:dyDescent="0.3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spans="3:29" x14ac:dyDescent="0.3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3:29" x14ac:dyDescent="0.3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spans="3:29" x14ac:dyDescent="0.3"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spans="3:29" x14ac:dyDescent="0.3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spans="3:29" x14ac:dyDescent="0.3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spans="3:29" x14ac:dyDescent="0.3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spans="3:29" x14ac:dyDescent="0.3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spans="3:29" x14ac:dyDescent="0.3"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spans="3:29" x14ac:dyDescent="0.3"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spans="3:29" x14ac:dyDescent="0.3"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spans="3:29" x14ac:dyDescent="0.3"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spans="3:29" x14ac:dyDescent="0.3"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spans="3:29" x14ac:dyDescent="0.3"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spans="3:29" x14ac:dyDescent="0.3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spans="3:29" x14ac:dyDescent="0.3"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spans="3:29" x14ac:dyDescent="0.3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spans="3:29" x14ac:dyDescent="0.3"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spans="3:29" x14ac:dyDescent="0.3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spans="3:29" x14ac:dyDescent="0.3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spans="3:29" x14ac:dyDescent="0.3"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spans="3:29" x14ac:dyDescent="0.3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spans="3:29" x14ac:dyDescent="0.3"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spans="3:29" x14ac:dyDescent="0.3"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spans="3:29" x14ac:dyDescent="0.3"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spans="3:29" x14ac:dyDescent="0.3"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 spans="3:29" x14ac:dyDescent="0.3"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spans="3:29" x14ac:dyDescent="0.3"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 spans="3:29" x14ac:dyDescent="0.3"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spans="3:29" x14ac:dyDescent="0.3"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spans="3:29" x14ac:dyDescent="0.3"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spans="3:29" x14ac:dyDescent="0.3"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spans="3:29" x14ac:dyDescent="0.3"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spans="3:29" x14ac:dyDescent="0.3"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spans="3:29" x14ac:dyDescent="0.3"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spans="3:29" x14ac:dyDescent="0.3"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spans="3:29" x14ac:dyDescent="0.3"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spans="3:29" x14ac:dyDescent="0.3"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spans="3:29" x14ac:dyDescent="0.3"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spans="3:29" x14ac:dyDescent="0.3"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spans="3:29" x14ac:dyDescent="0.3"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spans="3:29" x14ac:dyDescent="0.3"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 spans="3:29" x14ac:dyDescent="0.3"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 spans="3:29" x14ac:dyDescent="0.3"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 spans="3:29" x14ac:dyDescent="0.3"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 spans="3:29" x14ac:dyDescent="0.3"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spans="3:29" x14ac:dyDescent="0.3"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spans="3:29" x14ac:dyDescent="0.3"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spans="3:29" x14ac:dyDescent="0.3"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spans="3:29" x14ac:dyDescent="0.3"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spans="3:29" x14ac:dyDescent="0.3"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spans="3:29" x14ac:dyDescent="0.3"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 spans="3:29" x14ac:dyDescent="0.3"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spans="3:29" x14ac:dyDescent="0.3"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9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spans="3:29" x14ac:dyDescent="0.3"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9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spans="3:29" x14ac:dyDescent="0.3"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9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spans="3:29" x14ac:dyDescent="0.3"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spans="3:29" x14ac:dyDescent="0.3"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spans="3:29" x14ac:dyDescent="0.3"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spans="3:29" x14ac:dyDescent="0.3"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spans="3:29" x14ac:dyDescent="0.3"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spans="3:29" x14ac:dyDescent="0.3"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9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spans="3:29" x14ac:dyDescent="0.3"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9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spans="3:29" x14ac:dyDescent="0.3"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spans="3:29" x14ac:dyDescent="0.3"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spans="3:29" x14ac:dyDescent="0.3"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spans="3:29" x14ac:dyDescent="0.3"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spans="3:29" x14ac:dyDescent="0.3"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spans="3:29" x14ac:dyDescent="0.3"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spans="3:29" x14ac:dyDescent="0.3"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spans="3:29" x14ac:dyDescent="0.3"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spans="3:29" x14ac:dyDescent="0.3"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spans="3:29" x14ac:dyDescent="0.3"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spans="3:29" x14ac:dyDescent="0.3"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spans="3:29" x14ac:dyDescent="0.3"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spans="3:29" x14ac:dyDescent="0.3"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spans="3:29" x14ac:dyDescent="0.3"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spans="3:29" x14ac:dyDescent="0.3"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spans="3:29" x14ac:dyDescent="0.3"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spans="3:29" x14ac:dyDescent="0.3"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spans="3:29" x14ac:dyDescent="0.3"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spans="3:29" x14ac:dyDescent="0.3"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3" spans="3:29" x14ac:dyDescent="0.3">
      <c r="F143" s="6"/>
      <c r="G143" s="144" t="s">
        <v>227</v>
      </c>
      <c r="H143" s="144" t="s">
        <v>228</v>
      </c>
      <c r="I143" s="139"/>
      <c r="J143" s="139"/>
    </row>
    <row r="144" spans="3:29" x14ac:dyDescent="0.3">
      <c r="F144" s="145" t="s">
        <v>230</v>
      </c>
      <c r="G144" s="145">
        <v>7</v>
      </c>
      <c r="H144" s="145">
        <v>1</v>
      </c>
      <c r="I144" s="138"/>
      <c r="J144" s="138"/>
    </row>
    <row r="145" spans="6:9" x14ac:dyDescent="0.3">
      <c r="F145" s="145" t="s">
        <v>199</v>
      </c>
      <c r="G145" s="145" t="s">
        <v>231</v>
      </c>
      <c r="H145" s="145" t="s">
        <v>231</v>
      </c>
      <c r="I145" s="138"/>
    </row>
    <row r="146" spans="6:9" x14ac:dyDescent="0.3">
      <c r="F146" s="145" t="s">
        <v>187</v>
      </c>
      <c r="G146" s="145" t="s">
        <v>231</v>
      </c>
      <c r="H146" s="145" t="s">
        <v>231</v>
      </c>
      <c r="I146" s="138"/>
    </row>
    <row r="147" spans="6:9" x14ac:dyDescent="0.3">
      <c r="F147" s="145" t="s">
        <v>209</v>
      </c>
      <c r="G147" s="145">
        <v>1</v>
      </c>
      <c r="H147" s="145" t="s">
        <v>231</v>
      </c>
      <c r="I147" s="138"/>
    </row>
    <row r="148" spans="6:9" x14ac:dyDescent="0.3">
      <c r="F148" s="145" t="s">
        <v>220</v>
      </c>
      <c r="G148" s="145">
        <v>1</v>
      </c>
      <c r="H148" s="145" t="s">
        <v>231</v>
      </c>
      <c r="I148" s="138"/>
    </row>
  </sheetData>
  <autoFilter ref="C1:AC141" xr:uid="{00000000-0009-0000-0000-000002000000}"/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70"/>
  <sheetViews>
    <sheetView tabSelected="1" zoomScale="85" zoomScaleNormal="85" workbookViewId="0">
      <pane xSplit="3" ySplit="1" topLeftCell="D5" activePane="bottomRight" state="frozen"/>
      <selection pane="topRight" activeCell="J24" sqref="J24"/>
      <selection pane="bottomLeft" activeCell="J24" sqref="J24"/>
      <selection pane="bottomRight" activeCell="E20" sqref="E20"/>
    </sheetView>
  </sheetViews>
  <sheetFormatPr defaultColWidth="9" defaultRowHeight="15" x14ac:dyDescent="0.3"/>
  <cols>
    <col min="1" max="2" width="9" style="2"/>
    <col min="3" max="3" width="22.6640625" style="2" customWidth="1"/>
    <col min="4" max="4" width="11.109375" style="2" bestFit="1" customWidth="1"/>
    <col min="5" max="5" width="16.6640625" style="2" customWidth="1"/>
    <col min="6" max="6" width="12.109375" style="2" bestFit="1" customWidth="1"/>
    <col min="7" max="7" width="25.5546875" style="2" customWidth="1"/>
    <col min="8" max="8" width="9.109375" style="2" customWidth="1"/>
    <col min="9" max="9" width="21.44140625" style="2" customWidth="1"/>
    <col min="10" max="10" width="8.6640625" style="2" customWidth="1"/>
    <col min="11" max="11" width="44" style="2" customWidth="1"/>
    <col min="12" max="12" width="31.6640625" style="2" hidden="1" customWidth="1"/>
    <col min="13" max="13" width="10" style="2" hidden="1" customWidth="1"/>
    <col min="14" max="14" width="11.109375" style="2" hidden="1" customWidth="1"/>
    <col min="15" max="15" width="28" style="2" hidden="1" customWidth="1"/>
    <col min="16" max="16" width="17" style="2" hidden="1" customWidth="1"/>
    <col min="17" max="17" width="47.77734375" style="2" customWidth="1"/>
    <col min="18" max="19" width="34.88671875" style="4" customWidth="1"/>
    <col min="20" max="20" width="22.44140625" style="3" customWidth="1"/>
    <col min="21" max="21" width="13" style="2" customWidth="1"/>
    <col min="22" max="22" width="21.44140625" style="2" customWidth="1"/>
    <col min="23" max="24" width="16.6640625" style="2" customWidth="1"/>
    <col min="25" max="25" width="15.6640625" style="3" customWidth="1"/>
    <col min="26" max="26" width="10.109375" style="2" customWidth="1"/>
    <col min="27" max="27" width="9.33203125" style="2" customWidth="1"/>
    <col min="28" max="28" width="18.109375" style="2" customWidth="1"/>
    <col min="29" max="29" width="21.109375" style="2" customWidth="1"/>
    <col min="30" max="16384" width="9" style="2"/>
  </cols>
  <sheetData>
    <row r="1" spans="1:29" s="1" customFormat="1" ht="75" x14ac:dyDescent="0.3">
      <c r="C1" s="41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5" t="s">
        <v>13</v>
      </c>
      <c r="P1" s="45" t="s">
        <v>14</v>
      </c>
      <c r="Q1" s="68" t="s">
        <v>15</v>
      </c>
      <c r="R1" s="67" t="s">
        <v>16</v>
      </c>
      <c r="S1" s="67" t="s">
        <v>17</v>
      </c>
      <c r="T1" s="43" t="s">
        <v>18</v>
      </c>
      <c r="U1" s="45" t="s">
        <v>19</v>
      </c>
      <c r="V1" s="44" t="s">
        <v>20</v>
      </c>
      <c r="W1" s="44" t="s">
        <v>21</v>
      </c>
      <c r="X1" s="44" t="s">
        <v>22</v>
      </c>
      <c r="Y1" s="43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</row>
    <row r="2" spans="1:29" x14ac:dyDescent="0.3">
      <c r="C2" s="92" t="s">
        <v>299</v>
      </c>
      <c r="D2" s="93" t="s">
        <v>29</v>
      </c>
      <c r="E2" s="95">
        <v>8.9</v>
      </c>
      <c r="F2" s="93" t="s">
        <v>300</v>
      </c>
      <c r="G2" s="93" t="s">
        <v>31</v>
      </c>
      <c r="H2" s="93" t="s">
        <v>32</v>
      </c>
      <c r="I2" s="93" t="s">
        <v>33</v>
      </c>
      <c r="J2" s="93" t="s">
        <v>34</v>
      </c>
      <c r="K2" s="93" t="s">
        <v>301</v>
      </c>
      <c r="L2" s="93" t="s">
        <v>36</v>
      </c>
      <c r="M2" s="93">
        <v>6</v>
      </c>
      <c r="N2" s="93">
        <v>100</v>
      </c>
      <c r="O2" s="93">
        <v>200</v>
      </c>
      <c r="P2" s="93" t="s">
        <v>33</v>
      </c>
      <c r="Q2" s="93" t="s">
        <v>33</v>
      </c>
      <c r="R2" s="93">
        <v>1521</v>
      </c>
      <c r="S2" s="93" t="s">
        <v>33</v>
      </c>
      <c r="T2" s="93" t="s">
        <v>33</v>
      </c>
      <c r="U2" s="93" t="s">
        <v>33</v>
      </c>
      <c r="V2" s="93" t="s">
        <v>33</v>
      </c>
      <c r="W2" s="93" t="s">
        <v>33</v>
      </c>
      <c r="X2" s="93" t="s">
        <v>33</v>
      </c>
      <c r="Y2" s="93" t="s">
        <v>33</v>
      </c>
      <c r="Z2" s="93" t="s">
        <v>33</v>
      </c>
      <c r="AA2" s="93" t="s">
        <v>33</v>
      </c>
      <c r="AB2" s="93" t="s">
        <v>33</v>
      </c>
      <c r="AC2" s="93" t="s">
        <v>33</v>
      </c>
    </row>
    <row r="3" spans="1:29" x14ac:dyDescent="0.3">
      <c r="C3" s="92" t="s">
        <v>302</v>
      </c>
      <c r="D3" s="95" t="s">
        <v>29</v>
      </c>
      <c r="E3" s="95">
        <v>8.9</v>
      </c>
      <c r="F3" s="95" t="s">
        <v>300</v>
      </c>
      <c r="G3" s="95" t="s">
        <v>31</v>
      </c>
      <c r="H3" s="95" t="s">
        <v>32</v>
      </c>
      <c r="I3" s="95" t="s">
        <v>33</v>
      </c>
      <c r="J3" s="95" t="s">
        <v>34</v>
      </c>
      <c r="K3" s="95" t="s">
        <v>40</v>
      </c>
      <c r="L3" s="95" t="s">
        <v>36</v>
      </c>
      <c r="M3" s="95">
        <v>4</v>
      </c>
      <c r="N3" s="95">
        <v>40</v>
      </c>
      <c r="O3" s="95">
        <v>200</v>
      </c>
      <c r="P3" s="95" t="s">
        <v>33</v>
      </c>
      <c r="Q3" s="95" t="s">
        <v>33</v>
      </c>
      <c r="R3" s="93">
        <v>1521</v>
      </c>
      <c r="S3" s="95" t="s">
        <v>33</v>
      </c>
      <c r="T3" s="95" t="s">
        <v>33</v>
      </c>
      <c r="U3" s="95" t="s">
        <v>33</v>
      </c>
      <c r="V3" s="95" t="s">
        <v>33</v>
      </c>
      <c r="W3" s="95" t="s">
        <v>33</v>
      </c>
      <c r="X3" s="95" t="s">
        <v>33</v>
      </c>
      <c r="Y3" s="95" t="s">
        <v>33</v>
      </c>
      <c r="Z3" s="95" t="s">
        <v>33</v>
      </c>
      <c r="AA3" s="95" t="s">
        <v>33</v>
      </c>
      <c r="AB3" s="95" t="s">
        <v>33</v>
      </c>
      <c r="AC3" s="95" t="s">
        <v>33</v>
      </c>
    </row>
    <row r="4" spans="1:29" x14ac:dyDescent="0.3">
      <c r="C4" s="92" t="s">
        <v>303</v>
      </c>
      <c r="D4" s="95" t="s">
        <v>29</v>
      </c>
      <c r="E4" s="95">
        <v>8.9</v>
      </c>
      <c r="F4" s="95" t="s">
        <v>300</v>
      </c>
      <c r="G4" s="95" t="s">
        <v>31</v>
      </c>
      <c r="H4" s="95" t="s">
        <v>32</v>
      </c>
      <c r="I4" s="95" t="s">
        <v>33</v>
      </c>
      <c r="J4" s="95" t="s">
        <v>34</v>
      </c>
      <c r="K4" s="95" t="s">
        <v>44</v>
      </c>
      <c r="L4" s="95" t="s">
        <v>36</v>
      </c>
      <c r="M4" s="95">
        <v>4</v>
      </c>
      <c r="N4" s="95">
        <v>40</v>
      </c>
      <c r="O4" s="95">
        <v>200</v>
      </c>
      <c r="P4" s="95" t="s">
        <v>33</v>
      </c>
      <c r="Q4" s="95" t="s">
        <v>33</v>
      </c>
      <c r="R4" s="93">
        <v>1521</v>
      </c>
      <c r="S4" s="95" t="s">
        <v>33</v>
      </c>
      <c r="T4" s="95" t="s">
        <v>33</v>
      </c>
      <c r="U4" s="95" t="s">
        <v>33</v>
      </c>
      <c r="V4" s="95" t="s">
        <v>33</v>
      </c>
      <c r="W4" s="95" t="s">
        <v>33</v>
      </c>
      <c r="X4" s="95" t="s">
        <v>33</v>
      </c>
      <c r="Y4" s="95" t="s">
        <v>33</v>
      </c>
      <c r="Z4" s="95" t="s">
        <v>33</v>
      </c>
      <c r="AA4" s="95" t="s">
        <v>33</v>
      </c>
      <c r="AB4" s="95" t="s">
        <v>33</v>
      </c>
      <c r="AC4" s="95" t="s">
        <v>33</v>
      </c>
    </row>
    <row r="5" spans="1:29" x14ac:dyDescent="0.3">
      <c r="C5" s="92" t="s">
        <v>304</v>
      </c>
      <c r="D5" s="95" t="s">
        <v>29</v>
      </c>
      <c r="E5" s="95">
        <v>8.9</v>
      </c>
      <c r="F5" s="95" t="s">
        <v>300</v>
      </c>
      <c r="G5" s="95" t="s">
        <v>31</v>
      </c>
      <c r="H5" s="95" t="s">
        <v>32</v>
      </c>
      <c r="I5" s="95" t="s">
        <v>33</v>
      </c>
      <c r="J5" s="95" t="s">
        <v>34</v>
      </c>
      <c r="K5" s="95" t="s">
        <v>48</v>
      </c>
      <c r="L5" s="95" t="s">
        <v>36</v>
      </c>
      <c r="M5" s="95">
        <v>4</v>
      </c>
      <c r="N5" s="95">
        <v>30</v>
      </c>
      <c r="O5" s="95">
        <v>200</v>
      </c>
      <c r="P5" s="95" t="s">
        <v>33</v>
      </c>
      <c r="Q5" s="95" t="s">
        <v>33</v>
      </c>
      <c r="R5" s="93">
        <v>1521</v>
      </c>
      <c r="S5" s="95" t="s">
        <v>33</v>
      </c>
      <c r="T5" s="95" t="s">
        <v>33</v>
      </c>
      <c r="U5" s="95" t="s">
        <v>33</v>
      </c>
      <c r="V5" s="95" t="s">
        <v>33</v>
      </c>
      <c r="W5" s="95" t="s">
        <v>33</v>
      </c>
      <c r="X5" s="95" t="s">
        <v>33</v>
      </c>
      <c r="Y5" s="95" t="s">
        <v>33</v>
      </c>
      <c r="Z5" s="95" t="s">
        <v>33</v>
      </c>
      <c r="AA5" s="95" t="s">
        <v>33</v>
      </c>
      <c r="AB5" s="95" t="s">
        <v>33</v>
      </c>
      <c r="AC5" s="95" t="s">
        <v>33</v>
      </c>
    </row>
    <row r="6" spans="1:29" x14ac:dyDescent="0.3">
      <c r="C6" s="92" t="s">
        <v>305</v>
      </c>
      <c r="D6" s="95" t="s">
        <v>29</v>
      </c>
      <c r="E6" s="95">
        <v>8.9</v>
      </c>
      <c r="F6" s="95" t="s">
        <v>300</v>
      </c>
      <c r="G6" s="95" t="s">
        <v>31</v>
      </c>
      <c r="H6" s="95" t="s">
        <v>32</v>
      </c>
      <c r="I6" s="95" t="s">
        <v>33</v>
      </c>
      <c r="J6" s="95" t="s">
        <v>34</v>
      </c>
      <c r="K6" s="95" t="s">
        <v>52</v>
      </c>
      <c r="L6" s="95" t="s">
        <v>36</v>
      </c>
      <c r="M6" s="95">
        <v>2</v>
      </c>
      <c r="N6" s="95">
        <v>30</v>
      </c>
      <c r="O6" s="95">
        <v>200</v>
      </c>
      <c r="P6" s="95" t="s">
        <v>33</v>
      </c>
      <c r="Q6" s="95" t="s">
        <v>33</v>
      </c>
      <c r="R6" s="93">
        <v>1521</v>
      </c>
      <c r="S6" s="95" t="s">
        <v>33</v>
      </c>
      <c r="T6" s="95" t="s">
        <v>33</v>
      </c>
      <c r="U6" s="95" t="s">
        <v>33</v>
      </c>
      <c r="V6" s="95" t="s">
        <v>33</v>
      </c>
      <c r="W6" s="95" t="s">
        <v>33</v>
      </c>
      <c r="X6" s="95" t="s">
        <v>33</v>
      </c>
      <c r="Y6" s="95" t="s">
        <v>33</v>
      </c>
      <c r="Z6" s="95" t="s">
        <v>33</v>
      </c>
      <c r="AA6" s="95" t="s">
        <v>33</v>
      </c>
      <c r="AB6" s="95" t="s">
        <v>33</v>
      </c>
      <c r="AC6" s="95" t="s">
        <v>33</v>
      </c>
    </row>
    <row r="7" spans="1:29" x14ac:dyDescent="0.3">
      <c r="C7" s="92" t="s">
        <v>306</v>
      </c>
      <c r="D7" s="95" t="s">
        <v>29</v>
      </c>
      <c r="E7" s="95">
        <v>8.9</v>
      </c>
      <c r="F7" s="95" t="s">
        <v>300</v>
      </c>
      <c r="G7" s="95" t="s">
        <v>31</v>
      </c>
      <c r="H7" s="95" t="s">
        <v>32</v>
      </c>
      <c r="I7" s="95" t="s">
        <v>33</v>
      </c>
      <c r="J7" s="95" t="s">
        <v>34</v>
      </c>
      <c r="K7" s="95" t="s">
        <v>56</v>
      </c>
      <c r="L7" s="95" t="s">
        <v>36</v>
      </c>
      <c r="M7" s="95">
        <v>2</v>
      </c>
      <c r="N7" s="95">
        <v>30</v>
      </c>
      <c r="O7" s="95">
        <v>200</v>
      </c>
      <c r="P7" s="95" t="s">
        <v>33</v>
      </c>
      <c r="Q7" s="95" t="s">
        <v>33</v>
      </c>
      <c r="R7" s="93">
        <v>1521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</row>
    <row r="8" spans="1:29" ht="30" x14ac:dyDescent="0.3">
      <c r="A8" s="146" t="s">
        <v>131</v>
      </c>
      <c r="B8" s="2" t="s">
        <v>132</v>
      </c>
      <c r="C8" s="129" t="s">
        <v>307</v>
      </c>
      <c r="D8" s="129" t="s">
        <v>125</v>
      </c>
      <c r="E8" s="130">
        <v>2022</v>
      </c>
      <c r="F8" s="131" t="s">
        <v>300</v>
      </c>
      <c r="G8" s="129" t="s">
        <v>72</v>
      </c>
      <c r="H8" s="129" t="s">
        <v>134</v>
      </c>
      <c r="I8" s="129"/>
      <c r="J8" s="129" t="s">
        <v>135</v>
      </c>
      <c r="K8" s="129" t="s">
        <v>3072</v>
      </c>
      <c r="L8" s="129"/>
      <c r="M8" s="130">
        <v>12</v>
      </c>
      <c r="N8" s="130">
        <v>24</v>
      </c>
      <c r="O8" s="130">
        <v>200</v>
      </c>
      <c r="P8" s="129"/>
      <c r="Q8" s="132" t="s">
        <v>3057</v>
      </c>
      <c r="R8" s="129"/>
      <c r="S8" s="136" t="s">
        <v>309</v>
      </c>
      <c r="T8" s="136"/>
      <c r="U8" s="136"/>
      <c r="V8" s="136"/>
      <c r="W8" s="136"/>
      <c r="X8" s="136"/>
      <c r="Y8" s="136"/>
      <c r="Z8" s="136"/>
      <c r="AA8" s="136"/>
      <c r="AB8" s="136"/>
      <c r="AC8" s="136" t="s">
        <v>310</v>
      </c>
    </row>
    <row r="9" spans="1:29" ht="28.2" customHeight="1" x14ac:dyDescent="0.3">
      <c r="A9" s="146" t="s">
        <v>131</v>
      </c>
      <c r="B9" s="2" t="s">
        <v>140</v>
      </c>
      <c r="C9" s="129" t="s">
        <v>311</v>
      </c>
      <c r="D9" s="129" t="s">
        <v>125</v>
      </c>
      <c r="E9" s="130">
        <v>2022</v>
      </c>
      <c r="F9" s="131" t="s">
        <v>300</v>
      </c>
      <c r="G9" s="129" t="s">
        <v>72</v>
      </c>
      <c r="H9" s="129" t="s">
        <v>134</v>
      </c>
      <c r="I9" s="129"/>
      <c r="J9" s="129" t="s">
        <v>135</v>
      </c>
      <c r="K9" s="129" t="s">
        <v>3073</v>
      </c>
      <c r="L9" s="129"/>
      <c r="M9" s="130"/>
      <c r="N9" s="130"/>
      <c r="O9" s="130"/>
      <c r="P9" s="129"/>
      <c r="Q9" s="132" t="s">
        <v>3060</v>
      </c>
      <c r="R9" s="129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spans="1:29" ht="30" x14ac:dyDescent="0.3">
      <c r="A10" s="146" t="s">
        <v>131</v>
      </c>
      <c r="B10" s="2" t="s">
        <v>143</v>
      </c>
      <c r="C10" s="129" t="s">
        <v>312</v>
      </c>
      <c r="D10" s="129" t="s">
        <v>125</v>
      </c>
      <c r="E10" s="130">
        <v>2022</v>
      </c>
      <c r="F10" s="131" t="s">
        <v>300</v>
      </c>
      <c r="G10" s="129" t="s">
        <v>72</v>
      </c>
      <c r="H10" s="129" t="s">
        <v>134</v>
      </c>
      <c r="I10" s="129"/>
      <c r="J10" s="129" t="s">
        <v>158</v>
      </c>
      <c r="K10" s="129" t="s">
        <v>3067</v>
      </c>
      <c r="L10" s="129"/>
      <c r="M10" s="130">
        <v>12</v>
      </c>
      <c r="N10" s="130">
        <v>24</v>
      </c>
      <c r="O10" s="130">
        <v>200</v>
      </c>
      <c r="P10" s="129"/>
      <c r="Q10" s="132" t="s">
        <v>3061</v>
      </c>
      <c r="R10" s="129"/>
      <c r="S10" s="136" t="s">
        <v>309</v>
      </c>
      <c r="T10" s="136"/>
      <c r="U10" s="136"/>
      <c r="V10" s="136"/>
      <c r="W10" s="136"/>
      <c r="X10" s="136"/>
      <c r="Y10" s="136"/>
      <c r="Z10" s="136"/>
      <c r="AA10" s="136"/>
      <c r="AB10" s="136"/>
      <c r="AC10" s="136" t="s">
        <v>310</v>
      </c>
    </row>
    <row r="11" spans="1:29" ht="30" x14ac:dyDescent="0.3">
      <c r="A11" s="146" t="s">
        <v>131</v>
      </c>
      <c r="B11" s="2" t="s">
        <v>146</v>
      </c>
      <c r="C11" s="129" t="s">
        <v>313</v>
      </c>
      <c r="D11" s="129" t="s">
        <v>125</v>
      </c>
      <c r="E11" s="130">
        <v>2022</v>
      </c>
      <c r="F11" s="131" t="s">
        <v>300</v>
      </c>
      <c r="G11" s="129" t="s">
        <v>72</v>
      </c>
      <c r="H11" s="129" t="s">
        <v>134</v>
      </c>
      <c r="I11" s="129"/>
      <c r="J11" s="129" t="s">
        <v>164</v>
      </c>
      <c r="K11" s="129" t="s">
        <v>3068</v>
      </c>
      <c r="L11" s="129"/>
      <c r="M11" s="130">
        <v>12</v>
      </c>
      <c r="N11" s="130">
        <v>24</v>
      </c>
      <c r="O11" s="130">
        <v>200</v>
      </c>
      <c r="P11" s="129"/>
      <c r="Q11" s="132" t="s">
        <v>3062</v>
      </c>
      <c r="R11" s="129"/>
      <c r="S11" s="136" t="s">
        <v>309</v>
      </c>
      <c r="T11" s="136"/>
      <c r="U11" s="136"/>
      <c r="V11" s="136"/>
      <c r="W11" s="136"/>
      <c r="X11" s="136"/>
      <c r="Y11" s="136"/>
      <c r="Z11" s="136"/>
      <c r="AA11" s="136"/>
      <c r="AB11" s="136"/>
      <c r="AC11" s="136" t="s">
        <v>310</v>
      </c>
    </row>
    <row r="12" spans="1:29" ht="30" x14ac:dyDescent="0.3">
      <c r="A12" s="146" t="s">
        <v>131</v>
      </c>
      <c r="B12" s="2" t="s">
        <v>150</v>
      </c>
      <c r="C12" s="129" t="s">
        <v>314</v>
      </c>
      <c r="D12" s="129" t="s">
        <v>125</v>
      </c>
      <c r="E12" s="130">
        <v>2022</v>
      </c>
      <c r="F12" s="131" t="s">
        <v>300</v>
      </c>
      <c r="G12" s="129" t="s">
        <v>72</v>
      </c>
      <c r="H12" s="129" t="s">
        <v>134</v>
      </c>
      <c r="I12" s="129"/>
      <c r="J12" s="129" t="s">
        <v>169</v>
      </c>
      <c r="K12" s="129" t="s">
        <v>3069</v>
      </c>
      <c r="L12" s="129"/>
      <c r="M12" s="130">
        <v>12</v>
      </c>
      <c r="N12" s="130">
        <v>24</v>
      </c>
      <c r="O12" s="130">
        <v>200</v>
      </c>
      <c r="P12" s="129"/>
      <c r="Q12" s="132" t="s">
        <v>3063</v>
      </c>
      <c r="R12" s="129"/>
      <c r="S12" s="136" t="s">
        <v>309</v>
      </c>
      <c r="T12" s="136"/>
      <c r="U12" s="136"/>
      <c r="V12" s="136"/>
      <c r="W12" s="136"/>
      <c r="X12" s="136"/>
      <c r="Y12" s="136"/>
      <c r="Z12" s="136"/>
      <c r="AA12" s="136"/>
      <c r="AB12" s="136"/>
      <c r="AC12" s="136" t="s">
        <v>310</v>
      </c>
    </row>
    <row r="13" spans="1:29" ht="30" x14ac:dyDescent="0.3">
      <c r="A13" s="146" t="s">
        <v>131</v>
      </c>
      <c r="B13" s="2" t="s">
        <v>153</v>
      </c>
      <c r="C13" s="129" t="s">
        <v>315</v>
      </c>
      <c r="D13" s="129" t="s">
        <v>125</v>
      </c>
      <c r="E13" s="130">
        <v>2022</v>
      </c>
      <c r="F13" s="131" t="s">
        <v>300</v>
      </c>
      <c r="G13" s="129" t="s">
        <v>72</v>
      </c>
      <c r="H13" s="129" t="s">
        <v>134</v>
      </c>
      <c r="I13" s="129"/>
      <c r="J13" s="129" t="s">
        <v>174</v>
      </c>
      <c r="K13" s="129" t="s">
        <v>3070</v>
      </c>
      <c r="L13" s="129"/>
      <c r="M13" s="130">
        <v>12</v>
      </c>
      <c r="N13" s="130">
        <v>24</v>
      </c>
      <c r="O13" s="130">
        <v>200</v>
      </c>
      <c r="P13" s="129"/>
      <c r="Q13" s="132" t="s">
        <v>3064</v>
      </c>
      <c r="R13" s="129"/>
      <c r="S13" s="136" t="s">
        <v>309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 t="s">
        <v>310</v>
      </c>
    </row>
    <row r="14" spans="1:29" ht="30" x14ac:dyDescent="0.3">
      <c r="A14" s="146" t="s">
        <v>131</v>
      </c>
      <c r="B14" s="2" t="s">
        <v>156</v>
      </c>
      <c r="C14" s="129" t="s">
        <v>316</v>
      </c>
      <c r="D14" s="129" t="s">
        <v>125</v>
      </c>
      <c r="E14" s="130">
        <v>2022</v>
      </c>
      <c r="F14" s="131" t="s">
        <v>300</v>
      </c>
      <c r="G14" s="129" t="s">
        <v>72</v>
      </c>
      <c r="H14" s="129" t="s">
        <v>134</v>
      </c>
      <c r="I14" s="129"/>
      <c r="J14" s="129" t="s">
        <v>179</v>
      </c>
      <c r="K14" s="129" t="s">
        <v>3071</v>
      </c>
      <c r="L14" s="129"/>
      <c r="M14" s="130">
        <v>12</v>
      </c>
      <c r="N14" s="130">
        <v>24</v>
      </c>
      <c r="O14" s="130">
        <v>200</v>
      </c>
      <c r="P14" s="129"/>
      <c r="Q14" s="132" t="s">
        <v>3065</v>
      </c>
      <c r="R14" s="129"/>
      <c r="S14" s="136" t="s">
        <v>309</v>
      </c>
      <c r="T14" s="136"/>
      <c r="U14" s="136"/>
      <c r="V14" s="136"/>
      <c r="W14" s="136"/>
      <c r="X14" s="136"/>
      <c r="Y14" s="136"/>
      <c r="Z14" s="136"/>
      <c r="AA14" s="136"/>
      <c r="AB14" s="136"/>
      <c r="AC14" s="136" t="s">
        <v>310</v>
      </c>
    </row>
    <row r="15" spans="1:29" ht="30" x14ac:dyDescent="0.3">
      <c r="A15" s="146" t="s">
        <v>131</v>
      </c>
      <c r="B15" s="2" t="s">
        <v>162</v>
      </c>
      <c r="C15" s="129" t="s">
        <v>3066</v>
      </c>
      <c r="D15" s="129" t="s">
        <v>125</v>
      </c>
      <c r="E15" s="130">
        <v>2022</v>
      </c>
      <c r="F15" s="131" t="s">
        <v>300</v>
      </c>
      <c r="G15" s="129" t="s">
        <v>72</v>
      </c>
      <c r="H15" s="129" t="s">
        <v>134</v>
      </c>
      <c r="I15" s="129"/>
      <c r="J15" s="129" t="s">
        <v>135</v>
      </c>
      <c r="K15" s="129" t="s">
        <v>3074</v>
      </c>
      <c r="L15" s="129"/>
      <c r="M15" s="130">
        <v>12</v>
      </c>
      <c r="N15" s="130">
        <v>24</v>
      </c>
      <c r="O15" s="130">
        <v>200</v>
      </c>
      <c r="P15" s="129"/>
      <c r="Q15" s="132" t="s">
        <v>3059</v>
      </c>
      <c r="R15" s="129"/>
      <c r="S15" s="136" t="s">
        <v>309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 t="s">
        <v>310</v>
      </c>
    </row>
    <row r="16" spans="1:29" ht="30" x14ac:dyDescent="0.3">
      <c r="B16" s="2" t="s">
        <v>167</v>
      </c>
      <c r="C16" s="129" t="s">
        <v>317</v>
      </c>
      <c r="D16" s="129" t="s">
        <v>125</v>
      </c>
      <c r="E16" s="130">
        <v>2022</v>
      </c>
      <c r="F16" s="131" t="s">
        <v>300</v>
      </c>
      <c r="G16" s="129" t="s">
        <v>147</v>
      </c>
      <c r="H16" s="129" t="s">
        <v>134</v>
      </c>
      <c r="I16" s="129"/>
      <c r="J16" s="129" t="s">
        <v>135</v>
      </c>
      <c r="K16" s="129" t="s">
        <v>3074</v>
      </c>
      <c r="L16" s="129"/>
      <c r="M16" s="130">
        <v>12</v>
      </c>
      <c r="N16" s="130">
        <v>24</v>
      </c>
      <c r="O16" s="130">
        <v>200</v>
      </c>
      <c r="P16" s="129"/>
      <c r="Q16" s="132" t="s">
        <v>3058</v>
      </c>
      <c r="R16" s="129"/>
      <c r="S16" s="136" t="s">
        <v>309</v>
      </c>
      <c r="T16" s="136"/>
      <c r="U16" s="136"/>
      <c r="V16" s="136"/>
      <c r="W16" s="136"/>
      <c r="X16" s="136"/>
      <c r="Y16" s="136"/>
      <c r="Z16" s="136"/>
      <c r="AA16" s="136"/>
      <c r="AB16" s="136"/>
      <c r="AC16" s="136" t="s">
        <v>310</v>
      </c>
    </row>
    <row r="17" spans="2:29" ht="35.4" customHeight="1" x14ac:dyDescent="0.3">
      <c r="B17" s="2" t="s">
        <v>185</v>
      </c>
      <c r="C17" s="129" t="s">
        <v>318</v>
      </c>
      <c r="D17" s="129" t="s">
        <v>117</v>
      </c>
      <c r="E17" s="130">
        <v>9.4</v>
      </c>
      <c r="F17" s="131" t="s">
        <v>300</v>
      </c>
      <c r="G17" s="129" t="s">
        <v>147</v>
      </c>
      <c r="H17" s="129" t="s">
        <v>187</v>
      </c>
      <c r="I17" s="129"/>
      <c r="J17" s="129" t="s">
        <v>188</v>
      </c>
      <c r="K17" s="129" t="s">
        <v>308</v>
      </c>
      <c r="L17" s="129"/>
      <c r="M17" s="130">
        <v>8</v>
      </c>
      <c r="N17" s="130">
        <v>24</v>
      </c>
      <c r="O17" s="130">
        <v>200</v>
      </c>
      <c r="P17" s="129"/>
      <c r="Q17" s="132" t="s">
        <v>319</v>
      </c>
      <c r="R17" s="129"/>
      <c r="S17" s="136" t="s">
        <v>309</v>
      </c>
      <c r="T17" s="136"/>
      <c r="U17" s="136"/>
      <c r="V17" s="136"/>
      <c r="W17" s="136"/>
      <c r="X17" s="136"/>
      <c r="Y17" s="136"/>
      <c r="Z17" s="136"/>
      <c r="AA17" s="136"/>
      <c r="AB17" s="136"/>
      <c r="AC17" s="136" t="s">
        <v>320</v>
      </c>
    </row>
    <row r="18" spans="2:29" ht="57.6" customHeight="1" x14ac:dyDescent="0.3">
      <c r="B18" s="2" t="s">
        <v>193</v>
      </c>
      <c r="C18" s="129" t="s">
        <v>321</v>
      </c>
      <c r="D18" s="129" t="s">
        <v>117</v>
      </c>
      <c r="E18" s="130">
        <v>9.4</v>
      </c>
      <c r="F18" s="131" t="s">
        <v>300</v>
      </c>
      <c r="G18" s="129" t="s">
        <v>72</v>
      </c>
      <c r="H18" s="129" t="s">
        <v>187</v>
      </c>
      <c r="I18" s="129"/>
      <c r="J18" s="129" t="s">
        <v>188</v>
      </c>
      <c r="K18" s="129" t="s">
        <v>308</v>
      </c>
      <c r="L18" s="129"/>
      <c r="M18" s="130">
        <v>8</v>
      </c>
      <c r="N18" s="130">
        <v>24</v>
      </c>
      <c r="O18" s="130">
        <v>200</v>
      </c>
      <c r="P18" s="129"/>
      <c r="Q18" s="132" t="s">
        <v>3056</v>
      </c>
      <c r="R18" s="129"/>
      <c r="S18" s="136" t="s">
        <v>309</v>
      </c>
      <c r="T18" s="136"/>
      <c r="U18" s="136"/>
      <c r="V18" s="136"/>
      <c r="W18" s="136"/>
      <c r="X18" s="136"/>
      <c r="Y18" s="136"/>
      <c r="Z18" s="136"/>
      <c r="AA18" s="136"/>
      <c r="AB18" s="136"/>
      <c r="AC18" s="136" t="s">
        <v>320</v>
      </c>
    </row>
    <row r="19" spans="2:29" x14ac:dyDescent="0.3"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spans="2:29" x14ac:dyDescent="0.3">
      <c r="C20" s="66"/>
      <c r="D20" s="66"/>
      <c r="E20" s="66" t="s">
        <v>3075</v>
      </c>
      <c r="F20" s="138"/>
      <c r="G20" s="138"/>
      <c r="H20" s="139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2:29" x14ac:dyDescent="0.3">
      <c r="C21" s="66"/>
      <c r="D21" s="66"/>
      <c r="E21" s="66"/>
      <c r="F21" s="138"/>
      <c r="G21" s="138"/>
      <c r="H21" s="139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2:29" x14ac:dyDescent="0.3"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2:29" x14ac:dyDescent="0.3"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2:29" x14ac:dyDescent="0.3"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2:29" x14ac:dyDescent="0.3"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2:29" x14ac:dyDescent="0.3"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2:29" x14ac:dyDescent="0.3"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2:29" x14ac:dyDescent="0.3"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2:29" x14ac:dyDescent="0.3"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spans="2:29" x14ac:dyDescent="0.3"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spans="2:29" x14ac:dyDescent="0.3"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spans="2:29" x14ac:dyDescent="0.3"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spans="3:29" x14ac:dyDescent="0.3"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spans="3:29" x14ac:dyDescent="0.3"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spans="3:29" x14ac:dyDescent="0.3"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spans="3:29" x14ac:dyDescent="0.3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spans="3:29" x14ac:dyDescent="0.3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spans="3:29" x14ac:dyDescent="0.3"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spans="3:29" x14ac:dyDescent="0.3"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spans="3:29" x14ac:dyDescent="0.3"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spans="3:29" x14ac:dyDescent="0.3"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spans="3:29" x14ac:dyDescent="0.3"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spans="3:29" x14ac:dyDescent="0.3"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spans="3:29" x14ac:dyDescent="0.3"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spans="3:29" x14ac:dyDescent="0.3"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spans="3:29" x14ac:dyDescent="0.3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spans="3:29" x14ac:dyDescent="0.3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spans="3:29" x14ac:dyDescent="0.3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spans="3:29" x14ac:dyDescent="0.3"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3:29" x14ac:dyDescent="0.3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spans="3:29" x14ac:dyDescent="0.3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3:29" x14ac:dyDescent="0.3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3:29" x14ac:dyDescent="0.3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spans="3:29" x14ac:dyDescent="0.3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spans="3:29" x14ac:dyDescent="0.3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spans="3:29" x14ac:dyDescent="0.3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3:29" x14ac:dyDescent="0.3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3:29" x14ac:dyDescent="0.3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spans="3:29" x14ac:dyDescent="0.3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spans="3:29" x14ac:dyDescent="0.3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9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spans="3:29" x14ac:dyDescent="0.3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3:29" x14ac:dyDescent="0.3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5" spans="6:10" x14ac:dyDescent="0.3">
      <c r="F65" s="6"/>
      <c r="G65" s="144" t="s">
        <v>227</v>
      </c>
      <c r="H65" s="144" t="s">
        <v>228</v>
      </c>
      <c r="I65" s="144" t="s">
        <v>229</v>
      </c>
      <c r="J65" s="144" t="s">
        <v>228</v>
      </c>
    </row>
    <row r="66" spans="6:10" x14ac:dyDescent="0.3">
      <c r="F66" s="145" t="s">
        <v>230</v>
      </c>
      <c r="G66" s="145">
        <v>7</v>
      </c>
      <c r="H66" s="145" t="s">
        <v>322</v>
      </c>
      <c r="I66" s="145">
        <v>1</v>
      </c>
      <c r="J66" s="145" t="s">
        <v>322</v>
      </c>
    </row>
    <row r="67" spans="6:10" x14ac:dyDescent="0.3">
      <c r="F67" s="145" t="s">
        <v>199</v>
      </c>
      <c r="G67" s="145" t="s">
        <v>322</v>
      </c>
      <c r="H67" s="145" t="s">
        <v>322</v>
      </c>
      <c r="I67" s="145" t="s">
        <v>322</v>
      </c>
      <c r="J67" s="145" t="s">
        <v>322</v>
      </c>
    </row>
    <row r="68" spans="6:10" x14ac:dyDescent="0.3">
      <c r="F68" s="145" t="s">
        <v>187</v>
      </c>
      <c r="G68" s="145">
        <v>1</v>
      </c>
      <c r="H68" s="145" t="s">
        <v>322</v>
      </c>
      <c r="I68" s="145">
        <v>1</v>
      </c>
      <c r="J68" s="145" t="s">
        <v>322</v>
      </c>
    </row>
    <row r="69" spans="6:10" x14ac:dyDescent="0.3">
      <c r="F69" s="145" t="s">
        <v>209</v>
      </c>
      <c r="G69" s="145" t="s">
        <v>322</v>
      </c>
      <c r="H69" s="145" t="s">
        <v>322</v>
      </c>
      <c r="I69" s="145" t="s">
        <v>322</v>
      </c>
      <c r="J69" s="145" t="s">
        <v>322</v>
      </c>
    </row>
    <row r="70" spans="6:10" x14ac:dyDescent="0.3">
      <c r="F70" s="145" t="s">
        <v>220</v>
      </c>
      <c r="G70" s="145" t="s">
        <v>322</v>
      </c>
      <c r="H70" s="145" t="s">
        <v>322</v>
      </c>
      <c r="I70" s="145" t="s">
        <v>322</v>
      </c>
      <c r="J70" s="145" t="s">
        <v>322</v>
      </c>
    </row>
  </sheetData>
  <autoFilter ref="C1:AC62" xr:uid="{00000000-0009-0000-0000-000001000000}"/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workbookViewId="0">
      <selection activeCell="D5" sqref="D5"/>
    </sheetView>
  </sheetViews>
  <sheetFormatPr defaultColWidth="8.88671875" defaultRowHeight="16.2" x14ac:dyDescent="0.3"/>
  <cols>
    <col min="1" max="2" width="13.109375" customWidth="1"/>
    <col min="3" max="3" width="19.6640625" customWidth="1"/>
    <col min="4" max="4" width="55.6640625" bestFit="1" customWidth="1"/>
  </cols>
  <sheetData>
    <row r="1" spans="1:4" ht="64.8" x14ac:dyDescent="0.3">
      <c r="A1" s="18" t="s">
        <v>323</v>
      </c>
      <c r="B1" s="47"/>
      <c r="C1">
        <v>5.41</v>
      </c>
      <c r="D1" s="48" t="str">
        <f>CONCATENATE("Ser：",A1,B1,C1,CHAR(10),"Mgt：",A1,VALUE(B1)+1,C1,CHAR(10),"Bak：",A1,VALUE(B1)+2,C1,CHAR(10),"NFS：",A1,VALUE(B1)+3,C1)</f>
        <v>Ser：10.201.5.41
Mgt：10.201.15.41
Bak：10.201.25.41
NFS：10.201.35.41</v>
      </c>
    </row>
    <row r="2" spans="1:4" ht="64.8" x14ac:dyDescent="0.3">
      <c r="A2" s="18" t="s">
        <v>323</v>
      </c>
      <c r="B2" s="47"/>
      <c r="C2">
        <v>5.61</v>
      </c>
      <c r="D2" s="48" t="str">
        <f>CONCATENATE("Ser：",A2,B2,C2,CHAR(10),"Mgt：",A2,VALUE(B2)+1,C2,CHAR(10),"Bak：",A2,VALUE(B2)+2,C2,CHAR(10),"NFS：",A2,VALUE(B2)+3,C2)</f>
        <v>Ser：10.201.5.61
Mgt：10.201.15.61
Bak：10.201.25.61
NFS：10.201.35.61</v>
      </c>
    </row>
    <row r="3" spans="1:4" ht="64.8" x14ac:dyDescent="0.3">
      <c r="A3" s="18" t="s">
        <v>323</v>
      </c>
      <c r="B3" s="47"/>
      <c r="C3">
        <v>5.1100000000000003</v>
      </c>
      <c r="D3" s="48" t="str">
        <f t="shared" ref="D3:D48" si="0">CONCATENATE("Ser：",A3,B3,C3,CHAR(10),"Mgt：",A3,VALUE(B3)+1,C3,CHAR(10),"Bak：",A3,VALUE(B3)+2,C3,CHAR(10),"NFS：",A3,VALUE(B3)+3,C3)</f>
        <v>Ser：10.201.5.11
Mgt：10.201.15.11
Bak：10.201.25.11
NFS：10.201.35.11</v>
      </c>
    </row>
    <row r="4" spans="1:4" ht="64.8" x14ac:dyDescent="0.3">
      <c r="A4" s="18" t="s">
        <v>323</v>
      </c>
      <c r="B4" s="47"/>
      <c r="C4">
        <v>5.51</v>
      </c>
      <c r="D4" s="48" t="str">
        <f t="shared" si="0"/>
        <v>Ser：10.201.5.51
Mgt：10.201.15.51
Bak：10.201.25.51
NFS：10.201.35.51</v>
      </c>
    </row>
    <row r="5" spans="1:4" ht="64.8" x14ac:dyDescent="0.3">
      <c r="A5" s="18" t="s">
        <v>323</v>
      </c>
      <c r="B5" s="47"/>
      <c r="C5">
        <v>5.21</v>
      </c>
      <c r="D5" s="48" t="str">
        <f t="shared" si="0"/>
        <v>Ser：10.201.5.21
Mgt：10.201.15.21
Bak：10.201.25.21
NFS：10.201.35.21</v>
      </c>
    </row>
    <row r="6" spans="1:4" ht="64.8" x14ac:dyDescent="0.3">
      <c r="A6" s="18" t="s">
        <v>324</v>
      </c>
      <c r="B6" s="47"/>
      <c r="C6">
        <v>5.12</v>
      </c>
      <c r="D6" s="48" t="str">
        <f t="shared" si="0"/>
        <v>Ser：10.200.5.12
Mgt：10.200.15.12
Bak：10.200.25.12
NFS：10.200.35.12</v>
      </c>
    </row>
    <row r="7" spans="1:4" ht="64.8" x14ac:dyDescent="0.3">
      <c r="A7" s="18" t="s">
        <v>324</v>
      </c>
      <c r="B7" s="47"/>
      <c r="C7">
        <v>5.51</v>
      </c>
      <c r="D7" s="48" t="str">
        <f t="shared" si="0"/>
        <v>Ser：10.200.5.51
Mgt：10.200.15.51
Bak：10.200.25.51
NFS：10.200.35.51</v>
      </c>
    </row>
    <row r="8" spans="1:4" ht="64.8" x14ac:dyDescent="0.3">
      <c r="A8" s="18" t="s">
        <v>324</v>
      </c>
      <c r="B8" s="47"/>
      <c r="C8">
        <v>5.21</v>
      </c>
      <c r="D8" s="48" t="str">
        <f t="shared" si="0"/>
        <v>Ser：10.200.5.21
Mgt：10.200.15.21
Bak：10.200.25.21
NFS：10.200.35.21</v>
      </c>
    </row>
    <row r="9" spans="1:4" ht="64.8" x14ac:dyDescent="0.3">
      <c r="A9" s="18" t="s">
        <v>324</v>
      </c>
      <c r="B9" s="47"/>
      <c r="C9">
        <v>5.13</v>
      </c>
      <c r="D9" s="48" t="str">
        <f t="shared" si="0"/>
        <v>Ser：10.200.5.13
Mgt：10.200.15.13
Bak：10.200.25.13
NFS：10.200.35.13</v>
      </c>
    </row>
    <row r="10" spans="1:4" ht="64.8" x14ac:dyDescent="0.3">
      <c r="A10" s="18" t="s">
        <v>324</v>
      </c>
      <c r="B10" s="47"/>
      <c r="C10">
        <v>5.52</v>
      </c>
      <c r="D10" s="48" t="str">
        <f t="shared" si="0"/>
        <v>Ser：10.200.5.52
Mgt：10.200.15.52
Bak：10.200.25.52
NFS：10.200.35.52</v>
      </c>
    </row>
    <row r="11" spans="1:4" ht="64.8" x14ac:dyDescent="0.3">
      <c r="A11" s="18" t="s">
        <v>324</v>
      </c>
      <c r="B11" s="47"/>
      <c r="C11">
        <v>5.22</v>
      </c>
      <c r="D11" s="48" t="str">
        <f t="shared" si="0"/>
        <v>Ser：10.200.5.22
Mgt：10.200.15.22
Bak：10.200.25.22
NFS：10.200.35.22</v>
      </c>
    </row>
    <row r="12" spans="1:4" ht="64.8" x14ac:dyDescent="0.3">
      <c r="A12" s="18" t="s">
        <v>324</v>
      </c>
      <c r="B12" s="47"/>
      <c r="C12">
        <v>2.1429999999999998</v>
      </c>
      <c r="D12" s="48" t="str">
        <f t="shared" si="0"/>
        <v>Ser：10.200.2.143
Mgt：10.200.12.143
Bak：10.200.22.143
NFS：10.200.32.143</v>
      </c>
    </row>
    <row r="13" spans="1:4" ht="64.8" x14ac:dyDescent="0.3">
      <c r="A13" s="18" t="s">
        <v>324</v>
      </c>
      <c r="B13" s="47"/>
      <c r="C13">
        <v>2.1509999999999998</v>
      </c>
      <c r="D13" s="48" t="str">
        <f t="shared" si="0"/>
        <v>Ser：10.200.2.151
Mgt：10.200.12.151
Bak：10.200.22.151
NFS：10.200.32.151</v>
      </c>
    </row>
    <row r="14" spans="1:4" ht="64.8" x14ac:dyDescent="0.3">
      <c r="A14" t="s">
        <v>324</v>
      </c>
      <c r="C14">
        <v>2.1520000000000001</v>
      </c>
      <c r="D14" s="48" t="str">
        <f t="shared" si="0"/>
        <v>Ser：10.200.2.152
Mgt：10.200.12.152
Bak：10.200.22.152
NFS：10.200.32.152</v>
      </c>
    </row>
    <row r="15" spans="1:4" ht="64.8" x14ac:dyDescent="0.3">
      <c r="A15" t="s">
        <v>324</v>
      </c>
      <c r="C15">
        <v>2.1339999999999999</v>
      </c>
      <c r="D15" s="48" t="str">
        <f t="shared" si="0"/>
        <v>Ser：10.200.2.134
Mgt：10.200.12.134
Bak：10.200.22.134
NFS：10.200.32.134</v>
      </c>
    </row>
    <row r="16" spans="1:4" ht="64.8" x14ac:dyDescent="0.3">
      <c r="A16" t="s">
        <v>324</v>
      </c>
      <c r="C16">
        <v>2.1349999999999998</v>
      </c>
      <c r="D16" s="48" t="str">
        <f t="shared" si="0"/>
        <v>Ser：10.200.2.135
Mgt：10.200.12.135
Bak：10.200.22.135
NFS：10.200.32.135</v>
      </c>
    </row>
    <row r="17" spans="1:4" ht="64.8" x14ac:dyDescent="0.3">
      <c r="A17" t="s">
        <v>324</v>
      </c>
      <c r="C17">
        <v>2.1360000000000001</v>
      </c>
      <c r="D17" s="48" t="str">
        <f t="shared" si="0"/>
        <v>Ser：10.200.2.136
Mgt：10.200.12.136
Bak：10.200.22.136
NFS：10.200.32.136</v>
      </c>
    </row>
    <row r="18" spans="1:4" ht="64.8" x14ac:dyDescent="0.3">
      <c r="A18" t="s">
        <v>324</v>
      </c>
      <c r="C18">
        <v>2.137</v>
      </c>
      <c r="D18" s="48" t="str">
        <f t="shared" si="0"/>
        <v>Ser：10.200.2.137
Mgt：10.200.12.137
Bak：10.200.22.137
NFS：10.200.32.137</v>
      </c>
    </row>
    <row r="19" spans="1:4" ht="64.8" x14ac:dyDescent="0.3">
      <c r="A19" t="s">
        <v>324</v>
      </c>
      <c r="C19">
        <v>2.1379999999999999</v>
      </c>
      <c r="D19" s="48" t="str">
        <f t="shared" si="0"/>
        <v>Ser：10.200.2.138
Mgt：10.200.12.138
Bak：10.200.22.138
NFS：10.200.32.138</v>
      </c>
    </row>
    <row r="20" spans="1:4" ht="64.8" x14ac:dyDescent="0.3">
      <c r="A20" t="s">
        <v>324</v>
      </c>
      <c r="C20">
        <v>2.141</v>
      </c>
      <c r="D20" s="48" t="str">
        <f t="shared" si="0"/>
        <v>Ser：10.200.2.141
Mgt：10.200.12.141
Bak：10.200.22.141
NFS：10.200.32.141</v>
      </c>
    </row>
    <row r="21" spans="1:4" ht="64.8" x14ac:dyDescent="0.3">
      <c r="A21" t="s">
        <v>324</v>
      </c>
      <c r="C21">
        <v>2.1419999999999999</v>
      </c>
      <c r="D21" s="48" t="str">
        <f t="shared" si="0"/>
        <v>Ser：10.200.2.142
Mgt：10.200.12.142
Bak：10.200.22.142
NFS：10.200.32.142</v>
      </c>
    </row>
    <row r="22" spans="1:4" ht="64.8" x14ac:dyDescent="0.3">
      <c r="A22" t="s">
        <v>324</v>
      </c>
      <c r="C22">
        <v>2.1429999999999998</v>
      </c>
      <c r="D22" s="48" t="str">
        <f t="shared" si="0"/>
        <v>Ser：10.200.2.143
Mgt：10.200.12.143
Bak：10.200.22.143
NFS：10.200.32.143</v>
      </c>
    </row>
    <row r="23" spans="1:4" ht="64.8" x14ac:dyDescent="0.3">
      <c r="A23" t="s">
        <v>324</v>
      </c>
      <c r="C23">
        <v>2.1440000000000001</v>
      </c>
      <c r="D23" s="48" t="str">
        <f t="shared" si="0"/>
        <v>Ser：10.200.2.144
Mgt：10.200.12.144
Bak：10.200.22.144
NFS：10.200.32.144</v>
      </c>
    </row>
    <row r="24" spans="1:4" ht="64.8" x14ac:dyDescent="0.3">
      <c r="A24" t="s">
        <v>324</v>
      </c>
      <c r="C24">
        <v>2.145</v>
      </c>
      <c r="D24" s="48" t="str">
        <f t="shared" si="0"/>
        <v>Ser：10.200.2.145
Mgt：10.200.12.145
Bak：10.200.22.145
NFS：10.200.32.145</v>
      </c>
    </row>
    <row r="25" spans="1:4" ht="64.8" x14ac:dyDescent="0.3">
      <c r="A25" t="s">
        <v>324</v>
      </c>
      <c r="C25">
        <v>2.1459999999999999</v>
      </c>
      <c r="D25" s="48" t="str">
        <f t="shared" si="0"/>
        <v>Ser：10.200.2.146
Mgt：10.200.12.146
Bak：10.200.22.146
NFS：10.200.32.146</v>
      </c>
    </row>
    <row r="26" spans="1:4" ht="64.8" x14ac:dyDescent="0.3">
      <c r="A26" t="s">
        <v>324</v>
      </c>
      <c r="C26">
        <v>2.1469999999999998</v>
      </c>
      <c r="D26" s="48" t="str">
        <f t="shared" si="0"/>
        <v>Ser：10.200.2.147
Mgt：10.200.12.147
Bak：10.200.22.147
NFS：10.200.32.147</v>
      </c>
    </row>
    <row r="27" spans="1:4" ht="64.8" x14ac:dyDescent="0.3">
      <c r="A27" t="s">
        <v>324</v>
      </c>
      <c r="C27">
        <v>2.1480000000000001</v>
      </c>
      <c r="D27" s="48" t="str">
        <f t="shared" si="0"/>
        <v>Ser：10.200.2.148
Mgt：10.200.12.148
Bak：10.200.22.148
NFS：10.200.32.148</v>
      </c>
    </row>
    <row r="28" spans="1:4" ht="64.8" x14ac:dyDescent="0.3">
      <c r="A28" t="s">
        <v>324</v>
      </c>
      <c r="C28">
        <v>2.149</v>
      </c>
      <c r="D28" s="48" t="str">
        <f t="shared" si="0"/>
        <v>Ser：10.200.2.149
Mgt：10.200.12.149
Bak：10.200.22.149
NFS：10.200.32.149</v>
      </c>
    </row>
    <row r="29" spans="1:4" ht="64.8" x14ac:dyDescent="0.3">
      <c r="A29" t="s">
        <v>324</v>
      </c>
      <c r="C29">
        <v>2.15</v>
      </c>
      <c r="D29" s="48" t="str">
        <f t="shared" si="0"/>
        <v>Ser：10.200.2.15
Mgt：10.200.12.15
Bak：10.200.22.15
NFS：10.200.32.15</v>
      </c>
    </row>
    <row r="30" spans="1:4" ht="64.8" x14ac:dyDescent="0.3">
      <c r="A30" t="s">
        <v>324</v>
      </c>
      <c r="C30">
        <v>2.1509999999999998</v>
      </c>
      <c r="D30" s="48" t="str">
        <f t="shared" si="0"/>
        <v>Ser：10.200.2.151
Mgt：10.200.12.151
Bak：10.200.22.151
NFS：10.200.32.151</v>
      </c>
    </row>
    <row r="31" spans="1:4" ht="64.8" x14ac:dyDescent="0.3">
      <c r="A31" t="s">
        <v>324</v>
      </c>
      <c r="C31">
        <v>2.1520000000000001</v>
      </c>
      <c r="D31" s="48" t="str">
        <f t="shared" si="0"/>
        <v>Ser：10.200.2.152
Mgt：10.200.12.152
Bak：10.200.22.152
NFS：10.200.32.152</v>
      </c>
    </row>
    <row r="32" spans="1:4" ht="64.8" x14ac:dyDescent="0.3">
      <c r="A32" t="s">
        <v>324</v>
      </c>
      <c r="C32">
        <v>2.153</v>
      </c>
      <c r="D32" s="48" t="str">
        <f t="shared" si="0"/>
        <v>Ser：10.200.2.153
Mgt：10.200.12.153
Bak：10.200.22.153
NFS：10.200.32.153</v>
      </c>
    </row>
    <row r="33" spans="1:4" ht="64.8" x14ac:dyDescent="0.3">
      <c r="A33" t="s">
        <v>324</v>
      </c>
      <c r="C33">
        <v>2.1539999999999999</v>
      </c>
      <c r="D33" s="48" t="str">
        <f t="shared" si="0"/>
        <v>Ser：10.200.2.154
Mgt：10.200.12.154
Bak：10.200.22.154
NFS：10.200.32.154</v>
      </c>
    </row>
    <row r="34" spans="1:4" ht="64.8" x14ac:dyDescent="0.3">
      <c r="A34" t="s">
        <v>324</v>
      </c>
      <c r="C34">
        <v>2.1549999999999998</v>
      </c>
      <c r="D34" s="48" t="str">
        <f t="shared" si="0"/>
        <v>Ser：10.200.2.155
Mgt：10.200.12.155
Bak：10.200.22.155
NFS：10.200.32.155</v>
      </c>
    </row>
    <row r="35" spans="1:4" ht="64.8" x14ac:dyDescent="0.3">
      <c r="A35" t="s">
        <v>324</v>
      </c>
      <c r="C35">
        <v>2.1560000000000001</v>
      </c>
      <c r="D35" s="48" t="str">
        <f t="shared" si="0"/>
        <v>Ser：10.200.2.156
Mgt：10.200.12.156
Bak：10.200.22.156
NFS：10.200.32.156</v>
      </c>
    </row>
    <row r="36" spans="1:4" ht="64.8" x14ac:dyDescent="0.3">
      <c r="A36" t="s">
        <v>323</v>
      </c>
      <c r="D36" s="48" t="str">
        <f t="shared" si="0"/>
        <v>Ser：10.201.
Mgt：10.201.1
Bak：10.201.2
NFS：10.201.3</v>
      </c>
    </row>
    <row r="37" spans="1:4" ht="64.8" x14ac:dyDescent="0.3">
      <c r="A37" t="s">
        <v>323</v>
      </c>
      <c r="D37" s="48" t="str">
        <f t="shared" si="0"/>
        <v>Ser：10.201.
Mgt：10.201.1
Bak：10.201.2
NFS：10.201.3</v>
      </c>
    </row>
    <row r="38" spans="1:4" ht="64.8" x14ac:dyDescent="0.3">
      <c r="A38" t="s">
        <v>323</v>
      </c>
      <c r="D38" s="48" t="str">
        <f t="shared" si="0"/>
        <v>Ser：10.201.
Mgt：10.201.1
Bak：10.201.2
NFS：10.201.3</v>
      </c>
    </row>
    <row r="39" spans="1:4" ht="64.8" x14ac:dyDescent="0.3">
      <c r="A39" t="s">
        <v>323</v>
      </c>
      <c r="D39" s="48" t="str">
        <f t="shared" si="0"/>
        <v>Ser：10.201.
Mgt：10.201.1
Bak：10.201.2
NFS：10.201.3</v>
      </c>
    </row>
    <row r="40" spans="1:4" ht="64.8" x14ac:dyDescent="0.3">
      <c r="A40" t="s">
        <v>323</v>
      </c>
      <c r="D40" s="48" t="str">
        <f t="shared" si="0"/>
        <v>Ser：10.201.
Mgt：10.201.1
Bak：10.201.2
NFS：10.201.3</v>
      </c>
    </row>
    <row r="41" spans="1:4" ht="64.8" x14ac:dyDescent="0.3">
      <c r="A41" t="s">
        <v>323</v>
      </c>
      <c r="D41" s="48" t="str">
        <f t="shared" si="0"/>
        <v>Ser：10.201.
Mgt：10.201.1
Bak：10.201.2
NFS：10.201.3</v>
      </c>
    </row>
    <row r="42" spans="1:4" ht="64.8" x14ac:dyDescent="0.3">
      <c r="A42" t="s">
        <v>323</v>
      </c>
      <c r="D42" s="48" t="str">
        <f t="shared" si="0"/>
        <v>Ser：10.201.
Mgt：10.201.1
Bak：10.201.2
NFS：10.201.3</v>
      </c>
    </row>
    <row r="43" spans="1:4" ht="64.8" x14ac:dyDescent="0.3">
      <c r="A43" t="s">
        <v>323</v>
      </c>
      <c r="D43" s="48" t="str">
        <f t="shared" si="0"/>
        <v>Ser：10.201.
Mgt：10.201.1
Bak：10.201.2
NFS：10.201.3</v>
      </c>
    </row>
    <row r="44" spans="1:4" ht="64.8" x14ac:dyDescent="0.3">
      <c r="A44" t="s">
        <v>323</v>
      </c>
      <c r="D44" s="48" t="str">
        <f t="shared" si="0"/>
        <v>Ser：10.201.
Mgt：10.201.1
Bak：10.201.2
NFS：10.201.3</v>
      </c>
    </row>
    <row r="45" spans="1:4" ht="64.8" x14ac:dyDescent="0.3">
      <c r="A45" t="s">
        <v>323</v>
      </c>
      <c r="D45" s="48" t="str">
        <f t="shared" si="0"/>
        <v>Ser：10.201.
Mgt：10.201.1
Bak：10.201.2
NFS：10.201.3</v>
      </c>
    </row>
    <row r="46" spans="1:4" ht="64.8" x14ac:dyDescent="0.3">
      <c r="A46" t="s">
        <v>323</v>
      </c>
      <c r="D46" s="48" t="str">
        <f t="shared" si="0"/>
        <v>Ser：10.201.
Mgt：10.201.1
Bak：10.201.2
NFS：10.201.3</v>
      </c>
    </row>
    <row r="47" spans="1:4" ht="64.8" x14ac:dyDescent="0.3">
      <c r="A47" t="s">
        <v>323</v>
      </c>
      <c r="D47" s="48" t="str">
        <f t="shared" si="0"/>
        <v>Ser：10.201.
Mgt：10.201.1
Bak：10.201.2
NFS：10.201.3</v>
      </c>
    </row>
    <row r="48" spans="1:4" ht="64.8" x14ac:dyDescent="0.3">
      <c r="A48" t="s">
        <v>323</v>
      </c>
      <c r="D48" s="48" t="str">
        <f t="shared" si="0"/>
        <v>Ser：10.201.
Mgt：10.201.1
Bak：10.201.2
NFS：10.201.3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278"/>
  <sheetViews>
    <sheetView zoomScale="85" zoomScaleNormal="85" workbookViewId="0">
      <pane xSplit="3" ySplit="1" topLeftCell="D47" activePane="bottomRight" state="frozen"/>
      <selection pane="topRight" activeCell="J24" sqref="J24"/>
      <selection pane="bottomLeft" activeCell="J24" sqref="J24"/>
      <selection pane="bottomRight" activeCell="E50" sqref="E50"/>
    </sheetView>
  </sheetViews>
  <sheetFormatPr defaultColWidth="9" defaultRowHeight="15" x14ac:dyDescent="0.3"/>
  <cols>
    <col min="1" max="2" width="9" style="2"/>
    <col min="3" max="3" width="18.6640625" style="2" bestFit="1" customWidth="1"/>
    <col min="4" max="4" width="17" style="2" bestFit="1" customWidth="1"/>
    <col min="5" max="5" width="26.109375" style="2" customWidth="1"/>
    <col min="6" max="6" width="10.21875" style="2" bestFit="1" customWidth="1"/>
    <col min="7" max="7" width="8" style="2" customWidth="1"/>
    <col min="8" max="8" width="9" style="2" bestFit="1" customWidth="1"/>
    <col min="9" max="9" width="8.6640625" style="2" bestFit="1" customWidth="1"/>
    <col min="10" max="11" width="14.33203125" style="2" hidden="1" customWidth="1"/>
    <col min="12" max="12" width="21.88671875" style="2" customWidth="1"/>
    <col min="13" max="14" width="10.44140625" style="2" customWidth="1"/>
    <col min="15" max="15" width="15.88671875" style="2" customWidth="1"/>
    <col min="16" max="16" width="13.6640625" style="2" customWidth="1"/>
    <col min="17" max="17" width="9.6640625" style="4" customWidth="1"/>
    <col min="18" max="18" width="7.6640625" style="3" hidden="1" customWidth="1"/>
    <col min="19" max="19" width="11.44140625" style="3" hidden="1" customWidth="1"/>
    <col min="20" max="20" width="10.109375" style="2" hidden="1" customWidth="1"/>
    <col min="21" max="21" width="9.6640625" style="2" hidden="1" customWidth="1"/>
    <col min="22" max="22" width="18.109375" style="2" hidden="1" customWidth="1"/>
    <col min="23" max="16384" width="9" style="2"/>
  </cols>
  <sheetData>
    <row r="1" spans="1:23" s="1" customFormat="1" ht="60" x14ac:dyDescent="0.3">
      <c r="A1" s="45" t="s">
        <v>325</v>
      </c>
      <c r="B1" s="45" t="s">
        <v>326</v>
      </c>
      <c r="C1" s="44" t="s">
        <v>327</v>
      </c>
      <c r="D1" s="45" t="s">
        <v>328</v>
      </c>
      <c r="E1" s="42" t="s">
        <v>329</v>
      </c>
      <c r="F1" s="44" t="s">
        <v>330</v>
      </c>
      <c r="G1" s="44" t="s">
        <v>331</v>
      </c>
      <c r="H1" s="44" t="s">
        <v>332</v>
      </c>
      <c r="I1" s="44" t="s">
        <v>333</v>
      </c>
      <c r="J1" s="44" t="s">
        <v>334</v>
      </c>
      <c r="K1" s="44" t="s">
        <v>335</v>
      </c>
      <c r="L1" s="44" t="s">
        <v>336</v>
      </c>
      <c r="M1" s="41" t="s">
        <v>337</v>
      </c>
      <c r="N1" s="41" t="s">
        <v>338</v>
      </c>
      <c r="O1" s="44" t="s">
        <v>339</v>
      </c>
      <c r="P1" s="44" t="s">
        <v>340</v>
      </c>
      <c r="Q1" s="43" t="s">
        <v>341</v>
      </c>
      <c r="R1" s="43" t="s">
        <v>342</v>
      </c>
      <c r="S1" s="43" t="s">
        <v>343</v>
      </c>
      <c r="T1" s="42" t="s">
        <v>344</v>
      </c>
      <c r="U1" s="42" t="s">
        <v>345</v>
      </c>
      <c r="V1" s="42" t="s">
        <v>346</v>
      </c>
      <c r="W1" s="42" t="s">
        <v>347</v>
      </c>
    </row>
    <row r="2" spans="1:23" ht="60" x14ac:dyDescent="0.3">
      <c r="A2" s="152" t="s">
        <v>348</v>
      </c>
      <c r="B2" s="152" t="s">
        <v>349</v>
      </c>
      <c r="C2" s="152" t="s">
        <v>350</v>
      </c>
      <c r="D2" s="152" t="s">
        <v>351</v>
      </c>
      <c r="E2" s="120" t="s">
        <v>352</v>
      </c>
      <c r="F2" s="121" t="s">
        <v>117</v>
      </c>
      <c r="G2" s="122">
        <v>8.9</v>
      </c>
      <c r="H2" s="121" t="s">
        <v>30</v>
      </c>
      <c r="I2" s="121" t="s">
        <v>353</v>
      </c>
      <c r="J2" s="121" t="s">
        <v>33</v>
      </c>
      <c r="K2" s="121" t="s">
        <v>33</v>
      </c>
      <c r="L2" s="93" t="s">
        <v>35</v>
      </c>
      <c r="M2" s="121" t="s">
        <v>33</v>
      </c>
      <c r="N2" s="121" t="s">
        <v>33</v>
      </c>
      <c r="O2" s="121">
        <v>32</v>
      </c>
      <c r="P2" s="121">
        <v>512</v>
      </c>
      <c r="Q2" s="123"/>
      <c r="R2" s="121" t="s">
        <v>33</v>
      </c>
      <c r="S2" s="18"/>
      <c r="T2" s="18"/>
      <c r="U2" s="18"/>
      <c r="V2" s="18"/>
      <c r="W2" s="124" t="s">
        <v>354</v>
      </c>
    </row>
    <row r="3" spans="1:23" x14ac:dyDescent="0.3">
      <c r="A3" s="153"/>
      <c r="B3" s="153"/>
      <c r="C3" s="153"/>
      <c r="D3" s="153"/>
      <c r="E3" s="120" t="s">
        <v>355</v>
      </c>
      <c r="F3" s="121"/>
      <c r="G3" s="125"/>
      <c r="H3" s="121" t="s">
        <v>30</v>
      </c>
      <c r="I3" s="123" t="s">
        <v>356</v>
      </c>
      <c r="J3" s="123"/>
      <c r="K3" s="123"/>
      <c r="L3" s="123" t="s">
        <v>357</v>
      </c>
      <c r="M3" s="123"/>
      <c r="N3" s="123"/>
      <c r="O3" s="123"/>
      <c r="P3" s="123"/>
      <c r="Q3" s="123"/>
      <c r="R3" s="123"/>
      <c r="S3" s="18"/>
      <c r="T3" s="18"/>
      <c r="U3" s="18"/>
      <c r="V3" s="18"/>
      <c r="W3" s="18"/>
    </row>
    <row r="4" spans="1:23" ht="60" x14ac:dyDescent="0.3">
      <c r="A4" s="152" t="s">
        <v>358</v>
      </c>
      <c r="B4" s="152" t="s">
        <v>359</v>
      </c>
      <c r="C4" s="152" t="s">
        <v>350</v>
      </c>
      <c r="D4" s="152" t="s">
        <v>360</v>
      </c>
      <c r="E4" s="120" t="s">
        <v>361</v>
      </c>
      <c r="F4" s="121" t="s">
        <v>117</v>
      </c>
      <c r="G4" s="125" t="s">
        <v>362</v>
      </c>
      <c r="H4" s="123" t="s">
        <v>30</v>
      </c>
      <c r="I4" s="123" t="s">
        <v>363</v>
      </c>
      <c r="J4" s="123" t="s">
        <v>33</v>
      </c>
      <c r="K4" s="123" t="s">
        <v>33</v>
      </c>
      <c r="L4" s="123" t="s">
        <v>364</v>
      </c>
      <c r="M4" s="123" t="s">
        <v>33</v>
      </c>
      <c r="N4" s="123" t="s">
        <v>33</v>
      </c>
      <c r="O4" s="123">
        <v>32</v>
      </c>
      <c r="P4" s="123">
        <v>256</v>
      </c>
      <c r="Q4" s="123"/>
      <c r="R4" s="123" t="s">
        <v>33</v>
      </c>
      <c r="S4" s="18"/>
      <c r="T4" s="18"/>
      <c r="U4" s="18"/>
      <c r="V4" s="18"/>
      <c r="W4" s="18"/>
    </row>
    <row r="5" spans="1:23" x14ac:dyDescent="0.3">
      <c r="A5" s="153"/>
      <c r="B5" s="153"/>
      <c r="C5" s="153"/>
      <c r="D5" s="153"/>
      <c r="E5" s="120" t="s">
        <v>365</v>
      </c>
      <c r="F5" s="123"/>
      <c r="G5" s="125"/>
      <c r="H5" s="121" t="s">
        <v>30</v>
      </c>
      <c r="I5" s="123" t="s">
        <v>356</v>
      </c>
      <c r="J5" s="123"/>
      <c r="K5" s="123"/>
      <c r="L5" s="123" t="s">
        <v>357</v>
      </c>
      <c r="M5" s="123"/>
      <c r="N5" s="123"/>
      <c r="O5" s="123"/>
      <c r="P5" s="123"/>
      <c r="Q5" s="123"/>
      <c r="R5" s="123"/>
      <c r="S5" s="18"/>
      <c r="T5" s="18"/>
      <c r="U5" s="18"/>
      <c r="V5" s="18"/>
      <c r="W5" s="18"/>
    </row>
    <row r="6" spans="1:23" x14ac:dyDescent="0.3">
      <c r="A6" s="152" t="s">
        <v>348</v>
      </c>
      <c r="B6" s="152" t="s">
        <v>366</v>
      </c>
      <c r="C6" s="152" t="s">
        <v>350</v>
      </c>
      <c r="D6" s="152" t="s">
        <v>367</v>
      </c>
      <c r="E6" s="120" t="s">
        <v>368</v>
      </c>
      <c r="F6" s="123" t="s">
        <v>369</v>
      </c>
      <c r="G6" s="123" t="s">
        <v>33</v>
      </c>
      <c r="H6" s="123" t="s">
        <v>30</v>
      </c>
      <c r="I6" s="123" t="s">
        <v>356</v>
      </c>
      <c r="J6" s="123" t="s">
        <v>33</v>
      </c>
      <c r="K6" s="123" t="s">
        <v>33</v>
      </c>
      <c r="L6" s="123" t="s">
        <v>370</v>
      </c>
      <c r="M6" s="123" t="s">
        <v>33</v>
      </c>
      <c r="N6" s="123" t="s">
        <v>33</v>
      </c>
      <c r="O6" s="123">
        <v>64</v>
      </c>
      <c r="P6" s="123">
        <v>512</v>
      </c>
      <c r="Q6" s="123" t="s">
        <v>33</v>
      </c>
      <c r="R6" s="123" t="s">
        <v>33</v>
      </c>
      <c r="S6" s="18"/>
      <c r="T6" s="18"/>
      <c r="U6" s="18"/>
      <c r="V6" s="18"/>
      <c r="W6" s="18"/>
    </row>
    <row r="7" spans="1:23" x14ac:dyDescent="0.3">
      <c r="A7" s="153"/>
      <c r="B7" s="153"/>
      <c r="C7" s="153"/>
      <c r="D7" s="153"/>
      <c r="E7" s="120" t="s">
        <v>371</v>
      </c>
      <c r="F7" s="123"/>
      <c r="G7" s="123"/>
      <c r="H7" s="123" t="s">
        <v>30</v>
      </c>
      <c r="I7" s="123" t="s">
        <v>356</v>
      </c>
      <c r="J7" s="123"/>
      <c r="K7" s="123"/>
      <c r="L7" s="123" t="s">
        <v>357</v>
      </c>
      <c r="M7" s="123"/>
      <c r="N7" s="123"/>
      <c r="O7" s="123"/>
      <c r="P7" s="123"/>
      <c r="Q7" s="123"/>
      <c r="R7" s="123"/>
      <c r="S7" s="18"/>
      <c r="T7" s="18"/>
      <c r="U7" s="18"/>
      <c r="V7" s="18"/>
      <c r="W7" s="18"/>
    </row>
    <row r="8" spans="1:23" x14ac:dyDescent="0.3">
      <c r="A8" s="152" t="s">
        <v>372</v>
      </c>
      <c r="B8" s="152" t="s">
        <v>349</v>
      </c>
      <c r="C8" s="152" t="s">
        <v>350</v>
      </c>
      <c r="D8" s="152" t="s">
        <v>373</v>
      </c>
      <c r="E8" s="120" t="s">
        <v>374</v>
      </c>
      <c r="F8" s="123" t="s">
        <v>369</v>
      </c>
      <c r="G8" s="123" t="s">
        <v>33</v>
      </c>
      <c r="H8" s="123" t="s">
        <v>30</v>
      </c>
      <c r="I8" s="123" t="s">
        <v>356</v>
      </c>
      <c r="J8" s="123" t="s">
        <v>33</v>
      </c>
      <c r="K8" s="123" t="s">
        <v>33</v>
      </c>
      <c r="L8" s="123" t="s">
        <v>370</v>
      </c>
      <c r="M8" s="123" t="s">
        <v>33</v>
      </c>
      <c r="N8" s="123" t="s">
        <v>33</v>
      </c>
      <c r="O8" s="123">
        <v>64</v>
      </c>
      <c r="P8" s="123">
        <v>512</v>
      </c>
      <c r="Q8" s="123" t="s">
        <v>33</v>
      </c>
      <c r="R8" s="123" t="s">
        <v>33</v>
      </c>
      <c r="S8" s="18"/>
      <c r="T8" s="18"/>
      <c r="U8" s="18"/>
      <c r="V8" s="18"/>
      <c r="W8" s="18"/>
    </row>
    <row r="9" spans="1:23" x14ac:dyDescent="0.3">
      <c r="A9" s="153"/>
      <c r="B9" s="153"/>
      <c r="C9" s="153"/>
      <c r="D9" s="153"/>
      <c r="E9" s="120" t="s">
        <v>375</v>
      </c>
      <c r="F9" s="123"/>
      <c r="G9" s="123"/>
      <c r="H9" s="123" t="s">
        <v>30</v>
      </c>
      <c r="I9" s="123" t="s">
        <v>356</v>
      </c>
      <c r="J9" s="123"/>
      <c r="K9" s="123"/>
      <c r="L9" s="123" t="s">
        <v>357</v>
      </c>
      <c r="M9" s="123"/>
      <c r="N9" s="123"/>
      <c r="O9" s="123"/>
      <c r="P9" s="123"/>
      <c r="Q9" s="123"/>
      <c r="R9" s="123"/>
      <c r="S9" s="18"/>
      <c r="T9" s="18"/>
      <c r="U9" s="18"/>
      <c r="V9" s="18"/>
      <c r="W9" s="18"/>
    </row>
    <row r="10" spans="1:23" x14ac:dyDescent="0.3">
      <c r="A10" s="152" t="s">
        <v>372</v>
      </c>
      <c r="B10" s="152" t="s">
        <v>366</v>
      </c>
      <c r="C10" s="152" t="s">
        <v>350</v>
      </c>
      <c r="D10" s="152" t="s">
        <v>376</v>
      </c>
      <c r="E10" s="120" t="s">
        <v>377</v>
      </c>
      <c r="F10" s="123" t="s">
        <v>369</v>
      </c>
      <c r="G10" s="123" t="s">
        <v>33</v>
      </c>
      <c r="H10" s="123" t="s">
        <v>30</v>
      </c>
      <c r="I10" s="123" t="s">
        <v>356</v>
      </c>
      <c r="J10" s="123" t="s">
        <v>33</v>
      </c>
      <c r="K10" s="123" t="s">
        <v>33</v>
      </c>
      <c r="L10" s="123" t="s">
        <v>370</v>
      </c>
      <c r="M10" s="123" t="s">
        <v>33</v>
      </c>
      <c r="N10" s="123" t="s">
        <v>33</v>
      </c>
      <c r="O10" s="123">
        <v>64</v>
      </c>
      <c r="P10" s="123">
        <v>512</v>
      </c>
      <c r="Q10" s="123" t="s">
        <v>33</v>
      </c>
      <c r="R10" s="123" t="s">
        <v>33</v>
      </c>
      <c r="S10" s="18"/>
      <c r="T10" s="18"/>
      <c r="U10" s="18"/>
      <c r="V10" s="18"/>
      <c r="W10" s="18"/>
    </row>
    <row r="11" spans="1:23" x14ac:dyDescent="0.3">
      <c r="A11" s="153"/>
      <c r="B11" s="153"/>
      <c r="C11" s="153"/>
      <c r="D11" s="153"/>
      <c r="E11" s="120" t="s">
        <v>378</v>
      </c>
      <c r="F11" s="123"/>
      <c r="G11" s="123"/>
      <c r="H11" s="123" t="s">
        <v>30</v>
      </c>
      <c r="I11" s="123" t="s">
        <v>356</v>
      </c>
      <c r="J11" s="123"/>
      <c r="K11" s="123"/>
      <c r="L11" s="123" t="s">
        <v>357</v>
      </c>
      <c r="M11" s="123"/>
      <c r="N11" s="123"/>
      <c r="O11" s="123"/>
      <c r="P11" s="123"/>
      <c r="Q11" s="123"/>
      <c r="R11" s="123"/>
      <c r="S11" s="18"/>
      <c r="T11" s="18"/>
      <c r="U11" s="18"/>
      <c r="V11" s="18"/>
      <c r="W11" s="18"/>
    </row>
    <row r="12" spans="1:23" x14ac:dyDescent="0.3">
      <c r="A12" s="152" t="s">
        <v>379</v>
      </c>
      <c r="B12" s="152" t="s">
        <v>380</v>
      </c>
      <c r="C12" s="152" t="s">
        <v>350</v>
      </c>
      <c r="D12" s="152" t="s">
        <v>381</v>
      </c>
      <c r="E12" s="120" t="s">
        <v>382</v>
      </c>
      <c r="F12" s="123" t="s">
        <v>369</v>
      </c>
      <c r="G12" s="123" t="s">
        <v>33</v>
      </c>
      <c r="H12" s="123" t="s">
        <v>30</v>
      </c>
      <c r="I12" s="123" t="s">
        <v>356</v>
      </c>
      <c r="J12" s="123" t="s">
        <v>33</v>
      </c>
      <c r="K12" s="123" t="s">
        <v>33</v>
      </c>
      <c r="L12" s="123" t="s">
        <v>370</v>
      </c>
      <c r="M12" s="123" t="s">
        <v>33</v>
      </c>
      <c r="N12" s="123" t="s">
        <v>33</v>
      </c>
      <c r="O12" s="123">
        <v>32</v>
      </c>
      <c r="P12" s="123">
        <v>256</v>
      </c>
      <c r="Q12" s="123" t="s">
        <v>33</v>
      </c>
      <c r="R12" s="123" t="s">
        <v>33</v>
      </c>
      <c r="S12" s="18"/>
      <c r="T12" s="18"/>
      <c r="U12" s="18"/>
      <c r="V12" s="18"/>
      <c r="W12" s="18"/>
    </row>
    <row r="13" spans="1:23" x14ac:dyDescent="0.3">
      <c r="A13" s="153"/>
      <c r="B13" s="153"/>
      <c r="C13" s="153"/>
      <c r="D13" s="153"/>
      <c r="E13" s="120" t="s">
        <v>383</v>
      </c>
      <c r="F13" s="123"/>
      <c r="G13" s="123"/>
      <c r="H13" s="123" t="s">
        <v>30</v>
      </c>
      <c r="I13" s="123" t="s">
        <v>356</v>
      </c>
      <c r="J13" s="123"/>
      <c r="K13" s="123"/>
      <c r="L13" s="123" t="s">
        <v>357</v>
      </c>
      <c r="M13" s="123"/>
      <c r="N13" s="123"/>
      <c r="O13" s="123"/>
      <c r="P13" s="123"/>
      <c r="Q13" s="123"/>
      <c r="R13" s="123"/>
      <c r="S13" s="18"/>
      <c r="T13" s="18"/>
      <c r="U13" s="18"/>
      <c r="V13" s="18"/>
      <c r="W13" s="18"/>
    </row>
    <row r="14" spans="1:23" x14ac:dyDescent="0.3">
      <c r="A14" s="152" t="s">
        <v>379</v>
      </c>
      <c r="B14" s="152" t="s">
        <v>384</v>
      </c>
      <c r="C14" s="152" t="s">
        <v>350</v>
      </c>
      <c r="D14" s="152" t="s">
        <v>385</v>
      </c>
      <c r="E14" s="120" t="s">
        <v>386</v>
      </c>
      <c r="F14" s="123" t="s">
        <v>369</v>
      </c>
      <c r="G14" s="123" t="s">
        <v>33</v>
      </c>
      <c r="H14" s="123" t="s">
        <v>30</v>
      </c>
      <c r="I14" s="123" t="s">
        <v>356</v>
      </c>
      <c r="J14" s="123" t="s">
        <v>33</v>
      </c>
      <c r="K14" s="123" t="s">
        <v>33</v>
      </c>
      <c r="L14" s="123" t="s">
        <v>370</v>
      </c>
      <c r="M14" s="123" t="s">
        <v>33</v>
      </c>
      <c r="N14" s="123" t="s">
        <v>33</v>
      </c>
      <c r="O14" s="123">
        <v>32</v>
      </c>
      <c r="P14" s="123">
        <v>256</v>
      </c>
      <c r="Q14" s="123" t="s">
        <v>33</v>
      </c>
      <c r="R14" s="123" t="s">
        <v>33</v>
      </c>
      <c r="S14" s="18"/>
      <c r="T14" s="18"/>
      <c r="U14" s="18"/>
      <c r="V14" s="18"/>
      <c r="W14" s="18"/>
    </row>
    <row r="15" spans="1:23" x14ac:dyDescent="0.3">
      <c r="A15" s="153"/>
      <c r="B15" s="153"/>
      <c r="C15" s="153"/>
      <c r="D15" s="153"/>
      <c r="E15" s="120" t="s">
        <v>371</v>
      </c>
      <c r="F15" s="123"/>
      <c r="G15" s="123"/>
      <c r="H15" s="123" t="s">
        <v>30</v>
      </c>
      <c r="I15" s="123" t="s">
        <v>356</v>
      </c>
      <c r="J15" s="123"/>
      <c r="K15" s="123"/>
      <c r="L15" s="123" t="s">
        <v>357</v>
      </c>
      <c r="M15" s="123"/>
      <c r="N15" s="123"/>
      <c r="O15" s="123"/>
      <c r="P15" s="123"/>
      <c r="Q15" s="123"/>
      <c r="R15" s="123"/>
      <c r="S15" s="18"/>
      <c r="T15" s="18"/>
      <c r="U15" s="18"/>
      <c r="V15" s="18"/>
      <c r="W15" s="18"/>
    </row>
    <row r="16" spans="1:23" x14ac:dyDescent="0.3">
      <c r="A16" s="152" t="s">
        <v>379</v>
      </c>
      <c r="B16" s="152" t="s">
        <v>387</v>
      </c>
      <c r="C16" s="152" t="s">
        <v>350</v>
      </c>
      <c r="D16" s="152" t="s">
        <v>388</v>
      </c>
      <c r="E16" s="120" t="s">
        <v>389</v>
      </c>
      <c r="F16" s="123" t="s">
        <v>369</v>
      </c>
      <c r="G16" s="123" t="s">
        <v>33</v>
      </c>
      <c r="H16" s="123" t="s">
        <v>30</v>
      </c>
      <c r="I16" s="123" t="s">
        <v>356</v>
      </c>
      <c r="J16" s="123" t="s">
        <v>33</v>
      </c>
      <c r="K16" s="123" t="s">
        <v>33</v>
      </c>
      <c r="L16" s="123" t="s">
        <v>370</v>
      </c>
      <c r="M16" s="123" t="s">
        <v>33</v>
      </c>
      <c r="N16" s="123" t="s">
        <v>33</v>
      </c>
      <c r="O16" s="123">
        <v>32</v>
      </c>
      <c r="P16" s="123">
        <v>256</v>
      </c>
      <c r="Q16" s="123" t="s">
        <v>33</v>
      </c>
      <c r="R16" s="123" t="s">
        <v>33</v>
      </c>
      <c r="S16" s="18"/>
      <c r="T16" s="18"/>
      <c r="U16" s="18"/>
      <c r="V16" s="18"/>
      <c r="W16" s="18"/>
    </row>
    <row r="17" spans="1:23" x14ac:dyDescent="0.3">
      <c r="A17" s="153"/>
      <c r="B17" s="153"/>
      <c r="C17" s="153"/>
      <c r="D17" s="153"/>
      <c r="E17" s="120" t="s">
        <v>390</v>
      </c>
      <c r="F17" s="123"/>
      <c r="G17" s="123"/>
      <c r="H17" s="123" t="s">
        <v>30</v>
      </c>
      <c r="I17" s="123" t="s">
        <v>356</v>
      </c>
      <c r="J17" s="123"/>
      <c r="K17" s="123"/>
      <c r="L17" s="123" t="s">
        <v>357</v>
      </c>
      <c r="M17" s="123"/>
      <c r="N17" s="123"/>
      <c r="O17" s="123"/>
      <c r="P17" s="123"/>
      <c r="Q17" s="123"/>
      <c r="R17" s="123"/>
      <c r="S17" s="18"/>
      <c r="T17" s="18"/>
      <c r="U17" s="18"/>
      <c r="V17" s="18"/>
      <c r="W17" s="18"/>
    </row>
    <row r="18" spans="1:23" x14ac:dyDescent="0.3">
      <c r="A18" s="152" t="s">
        <v>379</v>
      </c>
      <c r="B18" s="152" t="s">
        <v>359</v>
      </c>
      <c r="C18" s="152" t="s">
        <v>350</v>
      </c>
      <c r="D18" s="152" t="s">
        <v>391</v>
      </c>
      <c r="E18" s="120" t="s">
        <v>392</v>
      </c>
      <c r="F18" s="123" t="s">
        <v>369</v>
      </c>
      <c r="G18" s="123" t="s">
        <v>33</v>
      </c>
      <c r="H18" s="123" t="s">
        <v>30</v>
      </c>
      <c r="I18" s="123" t="s">
        <v>356</v>
      </c>
      <c r="J18" s="123" t="s">
        <v>33</v>
      </c>
      <c r="K18" s="123" t="s">
        <v>33</v>
      </c>
      <c r="L18" s="123" t="s">
        <v>370</v>
      </c>
      <c r="M18" s="123" t="s">
        <v>33</v>
      </c>
      <c r="N18" s="123" t="s">
        <v>33</v>
      </c>
      <c r="O18" s="123">
        <v>32</v>
      </c>
      <c r="P18" s="123">
        <v>256</v>
      </c>
      <c r="Q18" s="123" t="s">
        <v>33</v>
      </c>
      <c r="R18" s="123" t="s">
        <v>33</v>
      </c>
      <c r="S18" s="18"/>
      <c r="T18" s="18"/>
      <c r="U18" s="18"/>
      <c r="V18" s="18"/>
      <c r="W18" s="18"/>
    </row>
    <row r="19" spans="1:23" x14ac:dyDescent="0.3">
      <c r="A19" s="153"/>
      <c r="B19" s="153"/>
      <c r="C19" s="153"/>
      <c r="D19" s="153"/>
      <c r="E19" s="120" t="s">
        <v>393</v>
      </c>
      <c r="F19" s="123"/>
      <c r="G19" s="123"/>
      <c r="H19" s="123" t="s">
        <v>30</v>
      </c>
      <c r="I19" s="123" t="s">
        <v>356</v>
      </c>
      <c r="J19" s="123"/>
      <c r="K19" s="123"/>
      <c r="L19" s="123" t="s">
        <v>357</v>
      </c>
      <c r="M19" s="123"/>
      <c r="N19" s="123"/>
      <c r="O19" s="123"/>
      <c r="P19" s="123"/>
      <c r="Q19" s="123"/>
      <c r="R19" s="123"/>
      <c r="S19" s="18"/>
      <c r="T19" s="18"/>
      <c r="U19" s="18"/>
      <c r="V19" s="18"/>
      <c r="W19" s="18"/>
    </row>
    <row r="20" spans="1:23" x14ac:dyDescent="0.3">
      <c r="A20" s="152" t="s">
        <v>394</v>
      </c>
      <c r="B20" s="152" t="s">
        <v>349</v>
      </c>
      <c r="C20" s="152" t="s">
        <v>350</v>
      </c>
      <c r="D20" s="152" t="s">
        <v>395</v>
      </c>
      <c r="E20" s="120" t="s">
        <v>396</v>
      </c>
      <c r="F20" s="123" t="s">
        <v>369</v>
      </c>
      <c r="G20" s="123" t="s">
        <v>33</v>
      </c>
      <c r="H20" s="123" t="s">
        <v>30</v>
      </c>
      <c r="I20" s="123" t="s">
        <v>356</v>
      </c>
      <c r="J20" s="123" t="s">
        <v>33</v>
      </c>
      <c r="K20" s="123" t="s">
        <v>33</v>
      </c>
      <c r="L20" s="123" t="s">
        <v>370</v>
      </c>
      <c r="M20" s="123" t="s">
        <v>33</v>
      </c>
      <c r="N20" s="123" t="s">
        <v>33</v>
      </c>
      <c r="O20" s="123">
        <v>64</v>
      </c>
      <c r="P20" s="123">
        <v>512</v>
      </c>
      <c r="Q20" s="123" t="s">
        <v>33</v>
      </c>
      <c r="R20" s="123" t="s">
        <v>33</v>
      </c>
      <c r="S20" s="18"/>
      <c r="T20" s="18"/>
      <c r="U20" s="18"/>
      <c r="V20" s="18"/>
      <c r="W20" s="18"/>
    </row>
    <row r="21" spans="1:23" x14ac:dyDescent="0.3">
      <c r="A21" s="153"/>
      <c r="B21" s="153"/>
      <c r="C21" s="153"/>
      <c r="D21" s="153"/>
      <c r="E21" s="120" t="s">
        <v>397</v>
      </c>
      <c r="F21" s="123"/>
      <c r="G21" s="123"/>
      <c r="H21" s="123" t="s">
        <v>30</v>
      </c>
      <c r="I21" s="123" t="s">
        <v>356</v>
      </c>
      <c r="J21" s="123"/>
      <c r="K21" s="123"/>
      <c r="L21" s="123" t="s">
        <v>357</v>
      </c>
      <c r="M21" s="123"/>
      <c r="N21" s="123"/>
      <c r="O21" s="123"/>
      <c r="P21" s="123"/>
      <c r="Q21" s="123"/>
      <c r="R21" s="123"/>
      <c r="S21" s="18"/>
      <c r="T21" s="18"/>
      <c r="U21" s="18"/>
      <c r="V21" s="18"/>
      <c r="W21" s="18"/>
    </row>
    <row r="22" spans="1:23" x14ac:dyDescent="0.3">
      <c r="A22" s="152" t="s">
        <v>394</v>
      </c>
      <c r="B22" s="152" t="s">
        <v>366</v>
      </c>
      <c r="C22" s="152" t="s">
        <v>350</v>
      </c>
      <c r="D22" s="152" t="s">
        <v>398</v>
      </c>
      <c r="E22" s="120" t="s">
        <v>399</v>
      </c>
      <c r="F22" s="123" t="s">
        <v>369</v>
      </c>
      <c r="G22" s="123" t="s">
        <v>33</v>
      </c>
      <c r="H22" s="123" t="s">
        <v>30</v>
      </c>
      <c r="I22" s="123" t="s">
        <v>356</v>
      </c>
      <c r="J22" s="123" t="s">
        <v>33</v>
      </c>
      <c r="K22" s="123" t="s">
        <v>33</v>
      </c>
      <c r="L22" s="123" t="s">
        <v>370</v>
      </c>
      <c r="M22" s="123" t="s">
        <v>33</v>
      </c>
      <c r="N22" s="123" t="s">
        <v>33</v>
      </c>
      <c r="O22" s="123">
        <v>64</v>
      </c>
      <c r="P22" s="123">
        <v>512</v>
      </c>
      <c r="Q22" s="123" t="s">
        <v>33</v>
      </c>
      <c r="R22" s="123" t="s">
        <v>33</v>
      </c>
      <c r="S22" s="18"/>
      <c r="T22" s="18"/>
      <c r="U22" s="18"/>
      <c r="V22" s="18"/>
      <c r="W22" s="18"/>
    </row>
    <row r="23" spans="1:23" x14ac:dyDescent="0.3">
      <c r="A23" s="153"/>
      <c r="B23" s="153"/>
      <c r="C23" s="153"/>
      <c r="D23" s="153"/>
      <c r="E23" s="120" t="s">
        <v>400</v>
      </c>
      <c r="F23" s="123"/>
      <c r="G23" s="123"/>
      <c r="H23" s="123" t="s">
        <v>30</v>
      </c>
      <c r="I23" s="123" t="s">
        <v>356</v>
      </c>
      <c r="J23" s="123"/>
      <c r="K23" s="123"/>
      <c r="L23" s="123" t="s">
        <v>357</v>
      </c>
      <c r="M23" s="123"/>
      <c r="N23" s="123"/>
      <c r="O23" s="123"/>
      <c r="P23" s="123"/>
      <c r="Q23" s="123"/>
      <c r="R23" s="123"/>
      <c r="S23" s="18"/>
      <c r="T23" s="18"/>
      <c r="U23" s="18"/>
      <c r="V23" s="18"/>
      <c r="W23" s="18"/>
    </row>
    <row r="24" spans="1:23" x14ac:dyDescent="0.3">
      <c r="A24" s="152" t="s">
        <v>401</v>
      </c>
      <c r="B24" s="152" t="s">
        <v>349</v>
      </c>
      <c r="C24" s="152" t="s">
        <v>350</v>
      </c>
      <c r="D24" s="152" t="s">
        <v>402</v>
      </c>
      <c r="E24" s="120" t="s">
        <v>403</v>
      </c>
      <c r="F24" s="123" t="s">
        <v>369</v>
      </c>
      <c r="G24" s="123" t="s">
        <v>33</v>
      </c>
      <c r="H24" s="123" t="s">
        <v>30</v>
      </c>
      <c r="I24" s="123" t="s">
        <v>356</v>
      </c>
      <c r="J24" s="123" t="s">
        <v>33</v>
      </c>
      <c r="K24" s="123" t="s">
        <v>33</v>
      </c>
      <c r="L24" s="123" t="s">
        <v>370</v>
      </c>
      <c r="M24" s="123" t="s">
        <v>33</v>
      </c>
      <c r="N24" s="123" t="s">
        <v>33</v>
      </c>
      <c r="O24" s="123">
        <v>64</v>
      </c>
      <c r="P24" s="123">
        <v>512</v>
      </c>
      <c r="Q24" s="123" t="s">
        <v>33</v>
      </c>
      <c r="R24" s="123" t="s">
        <v>33</v>
      </c>
      <c r="S24" s="18"/>
      <c r="T24" s="18"/>
      <c r="U24" s="18"/>
      <c r="V24" s="18"/>
      <c r="W24" s="18"/>
    </row>
    <row r="25" spans="1:23" x14ac:dyDescent="0.3">
      <c r="A25" s="153"/>
      <c r="B25" s="153"/>
      <c r="C25" s="153"/>
      <c r="D25" s="153"/>
      <c r="E25" s="120" t="s">
        <v>404</v>
      </c>
      <c r="F25" s="123"/>
      <c r="G25" s="123"/>
      <c r="H25" s="123" t="s">
        <v>30</v>
      </c>
      <c r="I25" s="123" t="s">
        <v>356</v>
      </c>
      <c r="J25" s="123"/>
      <c r="K25" s="123"/>
      <c r="L25" s="123" t="s">
        <v>357</v>
      </c>
      <c r="M25" s="123"/>
      <c r="N25" s="123"/>
      <c r="O25" s="123"/>
      <c r="P25" s="123"/>
      <c r="Q25" s="123"/>
      <c r="R25" s="123"/>
      <c r="S25" s="18"/>
      <c r="T25" s="18"/>
      <c r="U25" s="18"/>
      <c r="V25" s="18"/>
      <c r="W25" s="18"/>
    </row>
    <row r="26" spans="1:23" x14ac:dyDescent="0.3">
      <c r="A26" s="152" t="s">
        <v>401</v>
      </c>
      <c r="B26" s="152" t="s">
        <v>366</v>
      </c>
      <c r="C26" s="152" t="s">
        <v>350</v>
      </c>
      <c r="D26" s="152" t="s">
        <v>405</v>
      </c>
      <c r="E26" s="120" t="s">
        <v>406</v>
      </c>
      <c r="F26" s="123" t="s">
        <v>369</v>
      </c>
      <c r="G26" s="123" t="s">
        <v>33</v>
      </c>
      <c r="H26" s="123" t="s">
        <v>30</v>
      </c>
      <c r="I26" s="123" t="s">
        <v>356</v>
      </c>
      <c r="J26" s="123" t="s">
        <v>33</v>
      </c>
      <c r="K26" s="123" t="s">
        <v>33</v>
      </c>
      <c r="L26" s="123" t="s">
        <v>370</v>
      </c>
      <c r="M26" s="123" t="s">
        <v>33</v>
      </c>
      <c r="N26" s="123" t="s">
        <v>33</v>
      </c>
      <c r="O26" s="123">
        <v>64</v>
      </c>
      <c r="P26" s="123">
        <v>512</v>
      </c>
      <c r="Q26" s="123" t="s">
        <v>33</v>
      </c>
      <c r="R26" s="123" t="s">
        <v>33</v>
      </c>
      <c r="S26" s="18"/>
      <c r="T26" s="18"/>
      <c r="U26" s="18"/>
      <c r="V26" s="18"/>
      <c r="W26" s="18"/>
    </row>
    <row r="27" spans="1:23" x14ac:dyDescent="0.3">
      <c r="A27" s="153"/>
      <c r="B27" s="153"/>
      <c r="C27" s="153"/>
      <c r="D27" s="153"/>
      <c r="E27" s="120" t="s">
        <v>407</v>
      </c>
      <c r="F27" s="123"/>
      <c r="G27" s="123"/>
      <c r="H27" s="123" t="s">
        <v>30</v>
      </c>
      <c r="I27" s="123" t="s">
        <v>356</v>
      </c>
      <c r="J27" s="123"/>
      <c r="K27" s="123"/>
      <c r="L27" s="123" t="s">
        <v>357</v>
      </c>
      <c r="M27" s="123"/>
      <c r="N27" s="123"/>
      <c r="O27" s="123"/>
      <c r="P27" s="123"/>
      <c r="Q27" s="123"/>
      <c r="R27" s="123"/>
      <c r="S27" s="18"/>
      <c r="T27" s="18"/>
      <c r="U27" s="18"/>
      <c r="V27" s="18"/>
      <c r="W27" s="18"/>
    </row>
    <row r="28" spans="1:23" x14ac:dyDescent="0.3">
      <c r="A28" s="152" t="s">
        <v>358</v>
      </c>
      <c r="B28" s="152" t="s">
        <v>380</v>
      </c>
      <c r="C28" s="152" t="s">
        <v>350</v>
      </c>
      <c r="D28" s="152" t="s">
        <v>408</v>
      </c>
      <c r="E28" s="120" t="s">
        <v>409</v>
      </c>
      <c r="F28" s="123" t="s">
        <v>369</v>
      </c>
      <c r="G28" s="123" t="s">
        <v>33</v>
      </c>
      <c r="H28" s="123" t="s">
        <v>30</v>
      </c>
      <c r="I28" s="123" t="s">
        <v>356</v>
      </c>
      <c r="J28" s="123" t="s">
        <v>33</v>
      </c>
      <c r="K28" s="123" t="s">
        <v>33</v>
      </c>
      <c r="L28" s="123" t="s">
        <v>370</v>
      </c>
      <c r="M28" s="123" t="s">
        <v>33</v>
      </c>
      <c r="N28" s="123" t="s">
        <v>33</v>
      </c>
      <c r="O28" s="123">
        <v>32</v>
      </c>
      <c r="P28" s="123">
        <v>256</v>
      </c>
      <c r="Q28" s="123" t="s">
        <v>33</v>
      </c>
      <c r="R28" s="123" t="s">
        <v>33</v>
      </c>
      <c r="S28" s="18"/>
      <c r="T28" s="18"/>
      <c r="U28" s="18"/>
      <c r="V28" s="18"/>
      <c r="W28" s="124"/>
    </row>
    <row r="29" spans="1:23" x14ac:dyDescent="0.3">
      <c r="A29" s="153"/>
      <c r="B29" s="153"/>
      <c r="C29" s="153"/>
      <c r="D29" s="153"/>
      <c r="E29" s="120" t="s">
        <v>410</v>
      </c>
      <c r="F29" s="123"/>
      <c r="G29" s="123"/>
      <c r="H29" s="123" t="s">
        <v>30</v>
      </c>
      <c r="I29" s="123" t="s">
        <v>356</v>
      </c>
      <c r="J29" s="123"/>
      <c r="K29" s="123"/>
      <c r="L29" s="123" t="s">
        <v>357</v>
      </c>
      <c r="M29" s="123"/>
      <c r="N29" s="123"/>
      <c r="O29" s="123"/>
      <c r="P29" s="123"/>
      <c r="Q29" s="123"/>
      <c r="R29" s="123"/>
      <c r="S29" s="18"/>
      <c r="T29" s="18"/>
      <c r="U29" s="18"/>
      <c r="V29" s="18"/>
      <c r="W29" s="124"/>
    </row>
    <row r="30" spans="1:23" x14ac:dyDescent="0.3">
      <c r="A30" s="152" t="s">
        <v>358</v>
      </c>
      <c r="B30" s="152" t="s">
        <v>384</v>
      </c>
      <c r="C30" s="152" t="s">
        <v>350</v>
      </c>
      <c r="D30" s="152" t="s">
        <v>411</v>
      </c>
      <c r="E30" s="120" t="s">
        <v>412</v>
      </c>
      <c r="F30" s="123" t="s">
        <v>369</v>
      </c>
      <c r="G30" s="123" t="s">
        <v>33</v>
      </c>
      <c r="H30" s="123" t="s">
        <v>30</v>
      </c>
      <c r="I30" s="123" t="s">
        <v>356</v>
      </c>
      <c r="J30" s="123" t="s">
        <v>33</v>
      </c>
      <c r="K30" s="123" t="s">
        <v>33</v>
      </c>
      <c r="L30" s="123" t="s">
        <v>370</v>
      </c>
      <c r="M30" s="123" t="s">
        <v>33</v>
      </c>
      <c r="N30" s="123" t="s">
        <v>33</v>
      </c>
      <c r="O30" s="123">
        <v>32</v>
      </c>
      <c r="P30" s="123">
        <v>256</v>
      </c>
      <c r="Q30" s="123" t="s">
        <v>33</v>
      </c>
      <c r="R30" s="123" t="s">
        <v>33</v>
      </c>
      <c r="S30" s="18"/>
      <c r="T30" s="18"/>
      <c r="U30" s="18"/>
      <c r="V30" s="18"/>
      <c r="W30" s="18"/>
    </row>
    <row r="31" spans="1:23" x14ac:dyDescent="0.3">
      <c r="A31" s="153"/>
      <c r="B31" s="153"/>
      <c r="C31" s="153"/>
      <c r="D31" s="153"/>
      <c r="E31" s="120" t="s">
        <v>413</v>
      </c>
      <c r="F31" s="123"/>
      <c r="G31" s="123"/>
      <c r="H31" s="123" t="s">
        <v>30</v>
      </c>
      <c r="I31" s="123" t="s">
        <v>356</v>
      </c>
      <c r="J31" s="123"/>
      <c r="K31" s="123"/>
      <c r="L31" s="123" t="s">
        <v>357</v>
      </c>
      <c r="M31" s="123"/>
      <c r="N31" s="123"/>
      <c r="O31" s="123"/>
      <c r="P31" s="123"/>
      <c r="Q31" s="123"/>
      <c r="R31" s="123"/>
      <c r="S31" s="18"/>
      <c r="T31" s="18"/>
      <c r="U31" s="18"/>
      <c r="V31" s="18"/>
      <c r="W31" s="18"/>
    </row>
    <row r="32" spans="1:23" x14ac:dyDescent="0.3">
      <c r="A32" s="152" t="s">
        <v>358</v>
      </c>
      <c r="B32" s="152" t="s">
        <v>387</v>
      </c>
      <c r="C32" s="152" t="s">
        <v>350</v>
      </c>
      <c r="D32" s="152" t="s">
        <v>414</v>
      </c>
      <c r="E32" s="120" t="s">
        <v>415</v>
      </c>
      <c r="F32" s="123" t="s">
        <v>369</v>
      </c>
      <c r="G32" s="123" t="s">
        <v>33</v>
      </c>
      <c r="H32" s="123" t="s">
        <v>30</v>
      </c>
      <c r="I32" s="123" t="s">
        <v>356</v>
      </c>
      <c r="J32" s="123" t="s">
        <v>33</v>
      </c>
      <c r="K32" s="123" t="s">
        <v>33</v>
      </c>
      <c r="L32" s="123" t="s">
        <v>370</v>
      </c>
      <c r="M32" s="123" t="s">
        <v>33</v>
      </c>
      <c r="N32" s="123" t="s">
        <v>33</v>
      </c>
      <c r="O32" s="123">
        <v>32</v>
      </c>
      <c r="P32" s="123">
        <v>256</v>
      </c>
      <c r="Q32" s="123" t="s">
        <v>33</v>
      </c>
      <c r="R32" s="123" t="s">
        <v>33</v>
      </c>
      <c r="S32" s="18"/>
      <c r="T32" s="18"/>
      <c r="U32" s="18"/>
      <c r="V32" s="18"/>
      <c r="W32" s="18"/>
    </row>
    <row r="33" spans="1:23" x14ac:dyDescent="0.3">
      <c r="A33" s="153"/>
      <c r="B33" s="153"/>
      <c r="C33" s="153"/>
      <c r="D33" s="153"/>
      <c r="E33" s="120" t="s">
        <v>416</v>
      </c>
      <c r="F33" s="123"/>
      <c r="G33" s="123"/>
      <c r="H33" s="123" t="s">
        <v>30</v>
      </c>
      <c r="I33" s="123" t="s">
        <v>356</v>
      </c>
      <c r="J33" s="123"/>
      <c r="K33" s="123"/>
      <c r="L33" s="123" t="s">
        <v>357</v>
      </c>
      <c r="M33" s="123"/>
      <c r="N33" s="123"/>
      <c r="O33" s="123"/>
      <c r="P33" s="123"/>
      <c r="Q33" s="123"/>
      <c r="R33" s="123"/>
      <c r="S33" s="18"/>
      <c r="T33" s="18"/>
      <c r="U33" s="18"/>
      <c r="V33" s="18"/>
      <c r="W33" s="18"/>
    </row>
    <row r="34" spans="1:23" ht="60" x14ac:dyDescent="0.3">
      <c r="A34" s="152" t="s">
        <v>417</v>
      </c>
      <c r="B34" s="152" t="s">
        <v>418</v>
      </c>
      <c r="C34" s="152" t="s">
        <v>419</v>
      </c>
      <c r="D34" s="152" t="s">
        <v>420</v>
      </c>
      <c r="E34" s="120" t="s">
        <v>421</v>
      </c>
      <c r="F34" s="123" t="s">
        <v>422</v>
      </c>
      <c r="G34" s="123" t="s">
        <v>33</v>
      </c>
      <c r="H34" s="123" t="s">
        <v>30</v>
      </c>
      <c r="I34" s="123" t="s">
        <v>423</v>
      </c>
      <c r="J34" s="123" t="s">
        <v>33</v>
      </c>
      <c r="K34" s="123" t="s">
        <v>424</v>
      </c>
      <c r="L34" s="6"/>
      <c r="M34" s="123" t="s">
        <v>33</v>
      </c>
      <c r="N34" s="123" t="s">
        <v>33</v>
      </c>
      <c r="O34" s="123">
        <v>32</v>
      </c>
      <c r="P34" s="123">
        <v>1024</v>
      </c>
      <c r="Q34" s="123" t="s">
        <v>33</v>
      </c>
      <c r="R34" s="123" t="s">
        <v>33</v>
      </c>
      <c r="S34" s="18"/>
      <c r="T34" s="18"/>
      <c r="U34" s="18"/>
      <c r="V34" s="18"/>
      <c r="W34" s="18"/>
    </row>
    <row r="35" spans="1:23" x14ac:dyDescent="0.3">
      <c r="A35" s="153"/>
      <c r="B35" s="153"/>
      <c r="C35" s="153"/>
      <c r="D35" s="153"/>
      <c r="E35" s="120" t="s">
        <v>425</v>
      </c>
      <c r="F35" s="123"/>
      <c r="G35" s="123"/>
      <c r="H35" s="123" t="s">
        <v>30</v>
      </c>
      <c r="I35" s="123" t="s">
        <v>356</v>
      </c>
      <c r="J35" s="123"/>
      <c r="K35" s="123" t="s">
        <v>424</v>
      </c>
      <c r="L35" s="96" t="s">
        <v>426</v>
      </c>
      <c r="M35" s="123"/>
      <c r="N35" s="123"/>
      <c r="O35" s="123"/>
      <c r="P35" s="123"/>
      <c r="Q35" s="123"/>
      <c r="R35" s="123"/>
      <c r="S35" s="18"/>
      <c r="T35" s="18"/>
      <c r="U35" s="18"/>
      <c r="V35" s="18"/>
      <c r="W35" s="18"/>
    </row>
    <row r="36" spans="1:23" ht="60" x14ac:dyDescent="0.3">
      <c r="A36" s="152" t="s">
        <v>417</v>
      </c>
      <c r="B36" s="152" t="s">
        <v>427</v>
      </c>
      <c r="C36" s="152" t="s">
        <v>419</v>
      </c>
      <c r="D36" s="152" t="s">
        <v>428</v>
      </c>
      <c r="E36" s="120" t="s">
        <v>429</v>
      </c>
      <c r="F36" s="123" t="s">
        <v>430</v>
      </c>
      <c r="G36" s="123" t="s">
        <v>33</v>
      </c>
      <c r="H36" s="123" t="s">
        <v>30</v>
      </c>
      <c r="I36" s="123" t="s">
        <v>423</v>
      </c>
      <c r="J36" s="123" t="s">
        <v>33</v>
      </c>
      <c r="K36" s="123" t="s">
        <v>424</v>
      </c>
      <c r="L36" s="6"/>
      <c r="M36" s="123" t="s">
        <v>33</v>
      </c>
      <c r="N36" s="123" t="s">
        <v>33</v>
      </c>
      <c r="O36" s="123">
        <v>32</v>
      </c>
      <c r="P36" s="123">
        <v>1024</v>
      </c>
      <c r="Q36" s="123" t="s">
        <v>33</v>
      </c>
      <c r="R36" s="123" t="s">
        <v>33</v>
      </c>
      <c r="S36" s="18"/>
      <c r="T36" s="18"/>
      <c r="U36" s="18"/>
      <c r="V36" s="18"/>
      <c r="W36" s="18"/>
    </row>
    <row r="37" spans="1:23" x14ac:dyDescent="0.3">
      <c r="A37" s="153"/>
      <c r="B37" s="153"/>
      <c r="C37" s="153"/>
      <c r="D37" s="153"/>
      <c r="E37" s="120" t="s">
        <v>431</v>
      </c>
      <c r="F37" s="123"/>
      <c r="G37" s="123"/>
      <c r="H37" s="123" t="s">
        <v>30</v>
      </c>
      <c r="I37" s="123" t="s">
        <v>356</v>
      </c>
      <c r="J37" s="123"/>
      <c r="K37" s="123" t="s">
        <v>424</v>
      </c>
      <c r="L37" s="96" t="s">
        <v>426</v>
      </c>
      <c r="M37" s="123"/>
      <c r="N37" s="123"/>
      <c r="O37" s="123"/>
      <c r="P37" s="123"/>
      <c r="Q37" s="123"/>
      <c r="R37" s="123"/>
      <c r="S37" s="18"/>
      <c r="T37" s="18"/>
      <c r="U37" s="18"/>
      <c r="V37" s="18"/>
      <c r="W37" s="18"/>
    </row>
    <row r="38" spans="1:23" ht="60" x14ac:dyDescent="0.3">
      <c r="A38" s="152" t="s">
        <v>417</v>
      </c>
      <c r="B38" s="152" t="s">
        <v>432</v>
      </c>
      <c r="C38" s="152" t="s">
        <v>419</v>
      </c>
      <c r="D38" s="152" t="s">
        <v>433</v>
      </c>
      <c r="E38" s="120" t="s">
        <v>434</v>
      </c>
      <c r="F38" s="123" t="s">
        <v>430</v>
      </c>
      <c r="G38" s="123" t="s">
        <v>33</v>
      </c>
      <c r="H38" s="123" t="s">
        <v>30</v>
      </c>
      <c r="I38" s="123" t="s">
        <v>423</v>
      </c>
      <c r="J38" s="123" t="s">
        <v>33</v>
      </c>
      <c r="K38" s="123" t="s">
        <v>424</v>
      </c>
      <c r="L38" s="6"/>
      <c r="M38" s="123" t="s">
        <v>33</v>
      </c>
      <c r="N38" s="123" t="s">
        <v>33</v>
      </c>
      <c r="O38" s="123">
        <v>32</v>
      </c>
      <c r="P38" s="123">
        <v>1024</v>
      </c>
      <c r="Q38" s="123" t="s">
        <v>33</v>
      </c>
      <c r="R38" s="95" t="s">
        <v>33</v>
      </c>
      <c r="S38" s="18"/>
      <c r="T38" s="18"/>
      <c r="U38" s="18"/>
      <c r="V38" s="18"/>
      <c r="W38" s="18"/>
    </row>
    <row r="39" spans="1:23" x14ac:dyDescent="0.3">
      <c r="A39" s="153"/>
      <c r="B39" s="153"/>
      <c r="C39" s="153"/>
      <c r="D39" s="153"/>
      <c r="E39" s="120" t="s">
        <v>435</v>
      </c>
      <c r="F39" s="123"/>
      <c r="G39" s="123"/>
      <c r="H39" s="123" t="s">
        <v>30</v>
      </c>
      <c r="I39" s="123" t="s">
        <v>356</v>
      </c>
      <c r="J39" s="123"/>
      <c r="K39" s="123" t="s">
        <v>424</v>
      </c>
      <c r="L39" s="96" t="s">
        <v>426</v>
      </c>
      <c r="M39" s="123"/>
      <c r="N39" s="123"/>
      <c r="O39" s="123"/>
      <c r="P39" s="123"/>
      <c r="Q39" s="123"/>
      <c r="R39" s="95"/>
      <c r="S39" s="18"/>
      <c r="T39" s="18"/>
      <c r="U39" s="18"/>
      <c r="V39" s="18"/>
      <c r="W39" s="18"/>
    </row>
    <row r="40" spans="1:23" ht="60" x14ac:dyDescent="0.3">
      <c r="A40" s="152" t="s">
        <v>417</v>
      </c>
      <c r="B40" s="152" t="s">
        <v>436</v>
      </c>
      <c r="C40" s="152" t="s">
        <v>419</v>
      </c>
      <c r="D40" s="152" t="s">
        <v>437</v>
      </c>
      <c r="E40" s="120" t="s">
        <v>438</v>
      </c>
      <c r="F40" s="123" t="s">
        <v>430</v>
      </c>
      <c r="G40" s="123" t="s">
        <v>33</v>
      </c>
      <c r="H40" s="123" t="s">
        <v>30</v>
      </c>
      <c r="I40" s="123" t="s">
        <v>423</v>
      </c>
      <c r="J40" s="123" t="s">
        <v>33</v>
      </c>
      <c r="K40" s="123" t="s">
        <v>424</v>
      </c>
      <c r="L40" s="6"/>
      <c r="M40" s="123" t="s">
        <v>33</v>
      </c>
      <c r="N40" s="123" t="s">
        <v>33</v>
      </c>
      <c r="O40" s="123">
        <v>32</v>
      </c>
      <c r="P40" s="123">
        <v>1024</v>
      </c>
      <c r="Q40" s="123" t="s">
        <v>33</v>
      </c>
      <c r="R40" s="123" t="s">
        <v>33</v>
      </c>
      <c r="S40" s="18"/>
      <c r="T40" s="18"/>
      <c r="U40" s="18"/>
      <c r="V40" s="18"/>
      <c r="W40" s="18"/>
    </row>
    <row r="41" spans="1:23" x14ac:dyDescent="0.3">
      <c r="A41" s="153"/>
      <c r="B41" s="153"/>
      <c r="C41" s="153"/>
      <c r="D41" s="153"/>
      <c r="E41" s="120" t="s">
        <v>439</v>
      </c>
      <c r="F41" s="123"/>
      <c r="G41" s="123"/>
      <c r="H41" s="123" t="s">
        <v>30</v>
      </c>
      <c r="I41" s="123" t="s">
        <v>356</v>
      </c>
      <c r="J41" s="123"/>
      <c r="K41" s="123" t="s">
        <v>424</v>
      </c>
      <c r="L41" s="96" t="s">
        <v>426</v>
      </c>
      <c r="M41" s="123"/>
      <c r="N41" s="123"/>
      <c r="O41" s="123"/>
      <c r="P41" s="123"/>
      <c r="Q41" s="123"/>
      <c r="R41" s="123"/>
      <c r="S41" s="18"/>
      <c r="T41" s="18"/>
      <c r="U41" s="18"/>
      <c r="V41" s="18"/>
      <c r="W41" s="18"/>
    </row>
    <row r="42" spans="1:23" ht="60" x14ac:dyDescent="0.3">
      <c r="A42" s="152" t="s">
        <v>417</v>
      </c>
      <c r="B42" s="152" t="s">
        <v>440</v>
      </c>
      <c r="C42" s="152" t="s">
        <v>419</v>
      </c>
      <c r="D42" s="152" t="s">
        <v>441</v>
      </c>
      <c r="E42" s="120" t="s">
        <v>442</v>
      </c>
      <c r="F42" s="123" t="s">
        <v>430</v>
      </c>
      <c r="G42" s="123" t="s">
        <v>33</v>
      </c>
      <c r="H42" s="123" t="s">
        <v>30</v>
      </c>
      <c r="I42" s="123" t="s">
        <v>423</v>
      </c>
      <c r="J42" s="123" t="s">
        <v>33</v>
      </c>
      <c r="K42" s="123" t="s">
        <v>424</v>
      </c>
      <c r="L42" s="6"/>
      <c r="M42" s="123" t="s">
        <v>33</v>
      </c>
      <c r="N42" s="123" t="s">
        <v>33</v>
      </c>
      <c r="O42" s="123">
        <v>32</v>
      </c>
      <c r="P42" s="123">
        <v>1024</v>
      </c>
      <c r="Q42" s="123" t="s">
        <v>33</v>
      </c>
      <c r="R42" s="123" t="s">
        <v>33</v>
      </c>
      <c r="S42" s="18"/>
      <c r="T42" s="18"/>
      <c r="U42" s="18"/>
      <c r="V42" s="18"/>
      <c r="W42" s="18"/>
    </row>
    <row r="43" spans="1:23" x14ac:dyDescent="0.3">
      <c r="A43" s="153"/>
      <c r="B43" s="153"/>
      <c r="C43" s="153"/>
      <c r="D43" s="153"/>
      <c r="E43" s="120" t="s">
        <v>443</v>
      </c>
      <c r="F43" s="123"/>
      <c r="G43" s="123"/>
      <c r="H43" s="123" t="s">
        <v>30</v>
      </c>
      <c r="I43" s="123" t="s">
        <v>356</v>
      </c>
      <c r="J43" s="123"/>
      <c r="K43" s="123" t="s">
        <v>424</v>
      </c>
      <c r="L43" s="96" t="s">
        <v>426</v>
      </c>
      <c r="M43" s="123"/>
      <c r="N43" s="123"/>
      <c r="O43" s="123"/>
      <c r="P43" s="123"/>
      <c r="Q43" s="123"/>
      <c r="R43" s="123"/>
      <c r="S43" s="18"/>
      <c r="T43" s="18"/>
      <c r="U43" s="18"/>
      <c r="V43" s="18"/>
      <c r="W43" s="18"/>
    </row>
    <row r="44" spans="1:23" ht="60" x14ac:dyDescent="0.3">
      <c r="A44" s="152" t="s">
        <v>417</v>
      </c>
      <c r="B44" s="152" t="s">
        <v>444</v>
      </c>
      <c r="C44" s="152" t="s">
        <v>419</v>
      </c>
      <c r="D44" s="152" t="s">
        <v>445</v>
      </c>
      <c r="E44" s="120" t="s">
        <v>446</v>
      </c>
      <c r="F44" s="123" t="s">
        <v>430</v>
      </c>
      <c r="G44" s="123" t="s">
        <v>33</v>
      </c>
      <c r="H44" s="123" t="s">
        <v>30</v>
      </c>
      <c r="I44" s="123" t="s">
        <v>423</v>
      </c>
      <c r="J44" s="123" t="s">
        <v>33</v>
      </c>
      <c r="K44" s="123" t="s">
        <v>424</v>
      </c>
      <c r="L44" s="6"/>
      <c r="M44" s="123" t="s">
        <v>33</v>
      </c>
      <c r="N44" s="123" t="s">
        <v>33</v>
      </c>
      <c r="O44" s="123">
        <v>32</v>
      </c>
      <c r="P44" s="123">
        <v>1024</v>
      </c>
      <c r="Q44" s="123" t="s">
        <v>33</v>
      </c>
      <c r="R44" s="123" t="s">
        <v>33</v>
      </c>
      <c r="S44" s="18"/>
      <c r="T44" s="18"/>
      <c r="U44" s="18"/>
      <c r="V44" s="18"/>
      <c r="W44" s="18"/>
    </row>
    <row r="45" spans="1:23" x14ac:dyDescent="0.3">
      <c r="A45" s="153"/>
      <c r="B45" s="153"/>
      <c r="C45" s="153"/>
      <c r="D45" s="153"/>
      <c r="E45" s="120" t="s">
        <v>447</v>
      </c>
      <c r="F45" s="123"/>
      <c r="G45" s="123"/>
      <c r="H45" s="123" t="s">
        <v>30</v>
      </c>
      <c r="I45" s="123" t="s">
        <v>356</v>
      </c>
      <c r="J45" s="123"/>
      <c r="K45" s="123" t="s">
        <v>424</v>
      </c>
      <c r="L45" s="96" t="s">
        <v>426</v>
      </c>
      <c r="M45" s="123"/>
      <c r="N45" s="123"/>
      <c r="O45" s="123"/>
      <c r="P45" s="123"/>
      <c r="Q45" s="123"/>
      <c r="R45" s="123"/>
      <c r="S45" s="18"/>
      <c r="T45" s="18"/>
      <c r="U45" s="18"/>
      <c r="V45" s="18"/>
      <c r="W45" s="18"/>
    </row>
    <row r="46" spans="1:23" ht="60" x14ac:dyDescent="0.3">
      <c r="A46" s="152" t="s">
        <v>448</v>
      </c>
      <c r="B46" s="152" t="s">
        <v>418</v>
      </c>
      <c r="C46" s="152" t="s">
        <v>419</v>
      </c>
      <c r="D46" s="152" t="s">
        <v>449</v>
      </c>
      <c r="E46" s="120" t="s">
        <v>450</v>
      </c>
      <c r="F46" s="123" t="s">
        <v>430</v>
      </c>
      <c r="G46" s="123" t="s">
        <v>33</v>
      </c>
      <c r="H46" s="123" t="s">
        <v>30</v>
      </c>
      <c r="I46" s="123" t="s">
        <v>423</v>
      </c>
      <c r="J46" s="123" t="s">
        <v>33</v>
      </c>
      <c r="K46" s="123" t="s">
        <v>424</v>
      </c>
      <c r="L46" s="6"/>
      <c r="M46" s="123" t="s">
        <v>33</v>
      </c>
      <c r="N46" s="123" t="s">
        <v>33</v>
      </c>
      <c r="O46" s="123">
        <v>32</v>
      </c>
      <c r="P46" s="123">
        <v>1024</v>
      </c>
      <c r="Q46" s="123" t="s">
        <v>33</v>
      </c>
      <c r="R46" s="123" t="s">
        <v>33</v>
      </c>
      <c r="S46" s="18"/>
      <c r="T46" s="18"/>
      <c r="U46" s="18"/>
      <c r="V46" s="18"/>
      <c r="W46" s="18"/>
    </row>
    <row r="47" spans="1:23" x14ac:dyDescent="0.3">
      <c r="A47" s="153"/>
      <c r="B47" s="153"/>
      <c r="C47" s="153"/>
      <c r="D47" s="153"/>
      <c r="E47" s="120" t="s">
        <v>451</v>
      </c>
      <c r="F47" s="123"/>
      <c r="G47" s="123"/>
      <c r="H47" s="123" t="s">
        <v>30</v>
      </c>
      <c r="I47" s="123" t="s">
        <v>356</v>
      </c>
      <c r="J47" s="123"/>
      <c r="K47" s="123" t="s">
        <v>424</v>
      </c>
      <c r="L47" s="96" t="s">
        <v>426</v>
      </c>
      <c r="M47" s="123"/>
      <c r="N47" s="123"/>
      <c r="O47" s="123"/>
      <c r="P47" s="123"/>
      <c r="Q47" s="123"/>
      <c r="R47" s="123"/>
      <c r="S47" s="18"/>
      <c r="T47" s="18"/>
      <c r="U47" s="18"/>
      <c r="V47" s="18"/>
      <c r="W47" s="18"/>
    </row>
    <row r="48" spans="1:23" ht="60" x14ac:dyDescent="0.3">
      <c r="A48" s="152" t="s">
        <v>448</v>
      </c>
      <c r="B48" s="152" t="s">
        <v>427</v>
      </c>
      <c r="C48" s="152" t="s">
        <v>419</v>
      </c>
      <c r="D48" s="152" t="s">
        <v>452</v>
      </c>
      <c r="E48" s="120" t="s">
        <v>453</v>
      </c>
      <c r="F48" s="123" t="s">
        <v>430</v>
      </c>
      <c r="G48" s="123" t="s">
        <v>33</v>
      </c>
      <c r="H48" s="123" t="s">
        <v>30</v>
      </c>
      <c r="I48" s="123" t="s">
        <v>423</v>
      </c>
      <c r="J48" s="123" t="s">
        <v>33</v>
      </c>
      <c r="K48" s="123" t="s">
        <v>424</v>
      </c>
      <c r="L48" s="6"/>
      <c r="M48" s="123" t="s">
        <v>33</v>
      </c>
      <c r="N48" s="123" t="s">
        <v>33</v>
      </c>
      <c r="O48" s="123">
        <v>32</v>
      </c>
      <c r="P48" s="123">
        <v>1024</v>
      </c>
      <c r="Q48" s="123" t="s">
        <v>33</v>
      </c>
      <c r="R48" s="123" t="s">
        <v>33</v>
      </c>
      <c r="S48" s="18"/>
      <c r="T48" s="18"/>
      <c r="U48" s="18"/>
      <c r="V48" s="18"/>
      <c r="W48" s="124"/>
    </row>
    <row r="49" spans="1:23" x14ac:dyDescent="0.3">
      <c r="A49" s="153"/>
      <c r="B49" s="153"/>
      <c r="C49" s="153"/>
      <c r="D49" s="153"/>
      <c r="E49" s="120" t="s">
        <v>454</v>
      </c>
      <c r="F49" s="123"/>
      <c r="G49" s="123"/>
      <c r="H49" s="123" t="s">
        <v>30</v>
      </c>
      <c r="I49" s="123" t="s">
        <v>356</v>
      </c>
      <c r="J49" s="123"/>
      <c r="K49" s="123" t="s">
        <v>424</v>
      </c>
      <c r="L49" s="96" t="s">
        <v>426</v>
      </c>
      <c r="M49" s="123"/>
      <c r="N49" s="123"/>
      <c r="O49" s="123"/>
      <c r="P49" s="123"/>
      <c r="Q49" s="123"/>
      <c r="R49" s="123"/>
      <c r="S49" s="18"/>
      <c r="T49" s="18"/>
      <c r="U49" s="18"/>
      <c r="V49" s="18"/>
      <c r="W49" s="124"/>
    </row>
    <row r="50" spans="1:23" ht="60" x14ac:dyDescent="0.3">
      <c r="A50" s="152" t="s">
        <v>448</v>
      </c>
      <c r="B50" s="152" t="s">
        <v>432</v>
      </c>
      <c r="C50" s="152" t="s">
        <v>419</v>
      </c>
      <c r="D50" s="152" t="s">
        <v>455</v>
      </c>
      <c r="E50" s="120" t="s">
        <v>456</v>
      </c>
      <c r="F50" s="123" t="s">
        <v>430</v>
      </c>
      <c r="G50" s="123" t="s">
        <v>33</v>
      </c>
      <c r="H50" s="123" t="s">
        <v>30</v>
      </c>
      <c r="I50" s="123" t="s">
        <v>423</v>
      </c>
      <c r="J50" s="123" t="s">
        <v>33</v>
      </c>
      <c r="K50" s="123" t="s">
        <v>424</v>
      </c>
      <c r="L50" s="6"/>
      <c r="M50" s="123" t="s">
        <v>33</v>
      </c>
      <c r="N50" s="123" t="s">
        <v>33</v>
      </c>
      <c r="O50" s="123">
        <v>32</v>
      </c>
      <c r="P50" s="123">
        <v>1024</v>
      </c>
      <c r="Q50" s="123" t="s">
        <v>33</v>
      </c>
      <c r="R50" s="123" t="s">
        <v>33</v>
      </c>
      <c r="S50" s="18"/>
      <c r="T50" s="18"/>
      <c r="U50" s="18"/>
      <c r="V50" s="18"/>
      <c r="W50" s="18"/>
    </row>
    <row r="51" spans="1:23" x14ac:dyDescent="0.3">
      <c r="A51" s="153"/>
      <c r="B51" s="153"/>
      <c r="C51" s="153"/>
      <c r="D51" s="153"/>
      <c r="E51" s="120" t="s">
        <v>457</v>
      </c>
      <c r="F51" s="123"/>
      <c r="G51" s="123"/>
      <c r="H51" s="123" t="s">
        <v>30</v>
      </c>
      <c r="I51" s="123" t="s">
        <v>356</v>
      </c>
      <c r="J51" s="123"/>
      <c r="K51" s="123" t="s">
        <v>424</v>
      </c>
      <c r="L51" s="96" t="s">
        <v>426</v>
      </c>
      <c r="M51" s="123"/>
      <c r="N51" s="123"/>
      <c r="O51" s="123"/>
      <c r="P51" s="123"/>
      <c r="Q51" s="123"/>
      <c r="R51" s="123"/>
      <c r="S51" s="18"/>
      <c r="T51" s="18"/>
      <c r="U51" s="18"/>
      <c r="V51" s="18"/>
      <c r="W51" s="18"/>
    </row>
    <row r="52" spans="1:23" ht="60" x14ac:dyDescent="0.3">
      <c r="A52" s="152" t="s">
        <v>448</v>
      </c>
      <c r="B52" s="152" t="s">
        <v>436</v>
      </c>
      <c r="C52" s="152" t="s">
        <v>419</v>
      </c>
      <c r="D52" s="152" t="s">
        <v>458</v>
      </c>
      <c r="E52" s="120" t="s">
        <v>459</v>
      </c>
      <c r="F52" s="123" t="s">
        <v>430</v>
      </c>
      <c r="G52" s="123" t="s">
        <v>33</v>
      </c>
      <c r="H52" s="123" t="s">
        <v>30</v>
      </c>
      <c r="I52" s="123" t="s">
        <v>423</v>
      </c>
      <c r="J52" s="123" t="s">
        <v>33</v>
      </c>
      <c r="K52" s="123" t="s">
        <v>424</v>
      </c>
      <c r="L52" s="6"/>
      <c r="M52" s="123" t="s">
        <v>33</v>
      </c>
      <c r="N52" s="123" t="s">
        <v>33</v>
      </c>
      <c r="O52" s="123">
        <v>32</v>
      </c>
      <c r="P52" s="123">
        <v>1024</v>
      </c>
      <c r="Q52" s="123" t="s">
        <v>33</v>
      </c>
      <c r="R52" s="123" t="s">
        <v>33</v>
      </c>
      <c r="S52" s="18"/>
      <c r="T52" s="18"/>
      <c r="U52" s="18"/>
      <c r="V52" s="18"/>
      <c r="W52" s="18"/>
    </row>
    <row r="53" spans="1:23" x14ac:dyDescent="0.3">
      <c r="A53" s="153"/>
      <c r="B53" s="153"/>
      <c r="C53" s="153"/>
      <c r="D53" s="153"/>
      <c r="E53" s="120" t="s">
        <v>460</v>
      </c>
      <c r="F53" s="123"/>
      <c r="G53" s="123"/>
      <c r="H53" s="123" t="s">
        <v>30</v>
      </c>
      <c r="I53" s="123" t="s">
        <v>356</v>
      </c>
      <c r="J53" s="123"/>
      <c r="K53" s="123" t="s">
        <v>424</v>
      </c>
      <c r="L53" s="96" t="s">
        <v>426</v>
      </c>
      <c r="M53" s="123"/>
      <c r="N53" s="123"/>
      <c r="O53" s="123"/>
      <c r="P53" s="123"/>
      <c r="Q53" s="123"/>
      <c r="R53" s="123"/>
      <c r="S53" s="18"/>
      <c r="T53" s="18"/>
      <c r="U53" s="18"/>
      <c r="V53" s="18"/>
      <c r="W53" s="18"/>
    </row>
    <row r="54" spans="1:23" ht="60" x14ac:dyDescent="0.3">
      <c r="A54" s="152" t="s">
        <v>448</v>
      </c>
      <c r="B54" s="152" t="s">
        <v>440</v>
      </c>
      <c r="C54" s="152" t="s">
        <v>419</v>
      </c>
      <c r="D54" s="152" t="s">
        <v>461</v>
      </c>
      <c r="E54" s="120" t="s">
        <v>462</v>
      </c>
      <c r="F54" s="123" t="s">
        <v>430</v>
      </c>
      <c r="G54" s="123" t="s">
        <v>33</v>
      </c>
      <c r="H54" s="123" t="s">
        <v>30</v>
      </c>
      <c r="I54" s="123" t="s">
        <v>423</v>
      </c>
      <c r="J54" s="123" t="s">
        <v>33</v>
      </c>
      <c r="K54" s="123" t="s">
        <v>424</v>
      </c>
      <c r="L54" s="6"/>
      <c r="M54" s="123" t="s">
        <v>33</v>
      </c>
      <c r="N54" s="123" t="s">
        <v>33</v>
      </c>
      <c r="O54" s="123">
        <v>32</v>
      </c>
      <c r="P54" s="123">
        <v>1024</v>
      </c>
      <c r="Q54" s="123" t="s">
        <v>33</v>
      </c>
      <c r="R54" s="123" t="s">
        <v>33</v>
      </c>
      <c r="S54" s="18"/>
      <c r="T54" s="18"/>
      <c r="U54" s="18"/>
      <c r="V54" s="18"/>
      <c r="W54" s="18"/>
    </row>
    <row r="55" spans="1:23" x14ac:dyDescent="0.3">
      <c r="A55" s="153"/>
      <c r="B55" s="153"/>
      <c r="C55" s="153"/>
      <c r="D55" s="153"/>
      <c r="E55" s="120" t="s">
        <v>463</v>
      </c>
      <c r="F55" s="123"/>
      <c r="G55" s="123"/>
      <c r="H55" s="123" t="s">
        <v>30</v>
      </c>
      <c r="I55" s="123" t="s">
        <v>356</v>
      </c>
      <c r="J55" s="123"/>
      <c r="K55" s="123" t="s">
        <v>424</v>
      </c>
      <c r="L55" s="96" t="s">
        <v>426</v>
      </c>
      <c r="M55" s="123"/>
      <c r="N55" s="123"/>
      <c r="O55" s="123"/>
      <c r="P55" s="123"/>
      <c r="Q55" s="123"/>
      <c r="R55" s="123"/>
      <c r="S55" s="18"/>
      <c r="T55" s="18"/>
      <c r="U55" s="18"/>
      <c r="V55" s="18"/>
      <c r="W55" s="18"/>
    </row>
    <row r="56" spans="1:23" ht="60" x14ac:dyDescent="0.3">
      <c r="A56" s="152" t="s">
        <v>448</v>
      </c>
      <c r="B56" s="152" t="s">
        <v>444</v>
      </c>
      <c r="C56" s="152" t="s">
        <v>419</v>
      </c>
      <c r="D56" s="152" t="s">
        <v>464</v>
      </c>
      <c r="E56" s="120" t="s">
        <v>465</v>
      </c>
      <c r="F56" s="123" t="s">
        <v>430</v>
      </c>
      <c r="G56" s="123" t="s">
        <v>33</v>
      </c>
      <c r="H56" s="123" t="s">
        <v>30</v>
      </c>
      <c r="I56" s="123" t="s">
        <v>423</v>
      </c>
      <c r="J56" s="123" t="s">
        <v>33</v>
      </c>
      <c r="K56" s="123" t="s">
        <v>424</v>
      </c>
      <c r="L56" s="6"/>
      <c r="M56" s="123" t="s">
        <v>33</v>
      </c>
      <c r="N56" s="123" t="s">
        <v>33</v>
      </c>
      <c r="O56" s="123">
        <v>32</v>
      </c>
      <c r="P56" s="123">
        <v>1024</v>
      </c>
      <c r="Q56" s="123" t="s">
        <v>33</v>
      </c>
      <c r="R56" s="123" t="s">
        <v>33</v>
      </c>
      <c r="S56" s="18"/>
      <c r="T56" s="18"/>
      <c r="U56" s="18"/>
      <c r="V56" s="18"/>
      <c r="W56" s="18"/>
    </row>
    <row r="57" spans="1:23" x14ac:dyDescent="0.3">
      <c r="A57" s="153"/>
      <c r="B57" s="153"/>
      <c r="C57" s="153"/>
      <c r="D57" s="153"/>
      <c r="E57" s="120" t="s">
        <v>466</v>
      </c>
      <c r="F57" s="123"/>
      <c r="G57" s="123"/>
      <c r="H57" s="123" t="s">
        <v>30</v>
      </c>
      <c r="I57" s="123" t="s">
        <v>356</v>
      </c>
      <c r="J57" s="123"/>
      <c r="K57" s="123" t="s">
        <v>424</v>
      </c>
      <c r="L57" s="96" t="s">
        <v>426</v>
      </c>
      <c r="M57" s="123"/>
      <c r="N57" s="123"/>
      <c r="O57" s="123"/>
      <c r="P57" s="123"/>
      <c r="Q57" s="123"/>
      <c r="R57" s="123"/>
      <c r="S57" s="18"/>
      <c r="T57" s="18"/>
      <c r="U57" s="18"/>
      <c r="V57" s="18"/>
      <c r="W57" s="18"/>
    </row>
    <row r="58" spans="1:23" x14ac:dyDescent="0.3">
      <c r="A58" s="152" t="s">
        <v>467</v>
      </c>
      <c r="B58" s="152" t="s">
        <v>418</v>
      </c>
      <c r="C58" s="152" t="s">
        <v>419</v>
      </c>
      <c r="D58" s="152" t="s">
        <v>468</v>
      </c>
      <c r="E58" s="120" t="s">
        <v>469</v>
      </c>
      <c r="F58" s="123" t="s">
        <v>369</v>
      </c>
      <c r="G58" s="123" t="s">
        <v>33</v>
      </c>
      <c r="H58" s="123" t="s">
        <v>30</v>
      </c>
      <c r="I58" s="123" t="s">
        <v>356</v>
      </c>
      <c r="J58" s="123" t="s">
        <v>33</v>
      </c>
      <c r="K58" s="123" t="s">
        <v>33</v>
      </c>
      <c r="L58" s="123" t="s">
        <v>370</v>
      </c>
      <c r="M58" s="123" t="s">
        <v>33</v>
      </c>
      <c r="N58" s="123" t="s">
        <v>33</v>
      </c>
      <c r="O58" s="123">
        <v>28</v>
      </c>
      <c r="P58" s="123">
        <v>1024</v>
      </c>
      <c r="Q58" s="123" t="s">
        <v>33</v>
      </c>
      <c r="R58" s="123" t="s">
        <v>33</v>
      </c>
      <c r="S58" s="18"/>
      <c r="T58" s="18"/>
      <c r="U58" s="18"/>
      <c r="V58" s="18"/>
      <c r="W58" s="18"/>
    </row>
    <row r="59" spans="1:23" x14ac:dyDescent="0.3">
      <c r="A59" s="153"/>
      <c r="B59" s="153"/>
      <c r="C59" s="153"/>
      <c r="D59" s="153"/>
      <c r="E59" s="120" t="s">
        <v>470</v>
      </c>
      <c r="F59" s="123"/>
      <c r="G59" s="123"/>
      <c r="H59" s="123" t="s">
        <v>30</v>
      </c>
      <c r="I59" s="123" t="s">
        <v>356</v>
      </c>
      <c r="J59" s="123"/>
      <c r="K59" s="123"/>
      <c r="L59" s="96" t="s">
        <v>426</v>
      </c>
      <c r="M59" s="123"/>
      <c r="N59" s="123"/>
      <c r="O59" s="123"/>
      <c r="P59" s="123"/>
      <c r="Q59" s="123"/>
      <c r="R59" s="123"/>
      <c r="S59" s="18"/>
      <c r="T59" s="18"/>
      <c r="U59" s="18"/>
      <c r="V59" s="18"/>
      <c r="W59" s="18"/>
    </row>
    <row r="60" spans="1:23" x14ac:dyDescent="0.3">
      <c r="A60" s="152" t="s">
        <v>467</v>
      </c>
      <c r="B60" s="152" t="s">
        <v>427</v>
      </c>
      <c r="C60" s="152" t="s">
        <v>419</v>
      </c>
      <c r="D60" s="152" t="s">
        <v>471</v>
      </c>
      <c r="E60" s="120" t="s">
        <v>472</v>
      </c>
      <c r="F60" s="123" t="s">
        <v>369</v>
      </c>
      <c r="G60" s="123" t="s">
        <v>33</v>
      </c>
      <c r="H60" s="123" t="s">
        <v>30</v>
      </c>
      <c r="I60" s="123" t="s">
        <v>356</v>
      </c>
      <c r="J60" s="123" t="s">
        <v>33</v>
      </c>
      <c r="K60" s="123" t="s">
        <v>33</v>
      </c>
      <c r="L60" s="123" t="s">
        <v>370</v>
      </c>
      <c r="M60" s="123" t="s">
        <v>33</v>
      </c>
      <c r="N60" s="123" t="s">
        <v>33</v>
      </c>
      <c r="O60" s="123">
        <v>28</v>
      </c>
      <c r="P60" s="123">
        <v>1024</v>
      </c>
      <c r="Q60" s="123" t="s">
        <v>33</v>
      </c>
      <c r="R60" s="123" t="s">
        <v>33</v>
      </c>
      <c r="S60" s="18"/>
      <c r="T60" s="18"/>
      <c r="U60" s="18"/>
      <c r="V60" s="18"/>
      <c r="W60" s="18"/>
    </row>
    <row r="61" spans="1:23" x14ac:dyDescent="0.3">
      <c r="A61" s="153"/>
      <c r="B61" s="153"/>
      <c r="C61" s="153"/>
      <c r="D61" s="153"/>
      <c r="E61" s="120" t="s">
        <v>473</v>
      </c>
      <c r="F61" s="123"/>
      <c r="G61" s="123"/>
      <c r="H61" s="123" t="s">
        <v>30</v>
      </c>
      <c r="I61" s="123" t="s">
        <v>356</v>
      </c>
      <c r="J61" s="123"/>
      <c r="K61" s="123"/>
      <c r="L61" s="96" t="s">
        <v>426</v>
      </c>
      <c r="M61" s="123"/>
      <c r="N61" s="123"/>
      <c r="O61" s="123"/>
      <c r="P61" s="123"/>
      <c r="Q61" s="123"/>
      <c r="R61" s="123"/>
      <c r="S61" s="18"/>
      <c r="T61" s="18"/>
      <c r="U61" s="18"/>
      <c r="V61" s="18"/>
      <c r="W61" s="18"/>
    </row>
    <row r="62" spans="1:23" x14ac:dyDescent="0.3">
      <c r="A62" s="152" t="s">
        <v>467</v>
      </c>
      <c r="B62" s="152" t="s">
        <v>432</v>
      </c>
      <c r="C62" s="152" t="s">
        <v>419</v>
      </c>
      <c r="D62" s="152" t="s">
        <v>474</v>
      </c>
      <c r="E62" s="120" t="s">
        <v>475</v>
      </c>
      <c r="F62" s="123" t="s">
        <v>369</v>
      </c>
      <c r="G62" s="123" t="s">
        <v>33</v>
      </c>
      <c r="H62" s="123" t="s">
        <v>30</v>
      </c>
      <c r="I62" s="123" t="s">
        <v>356</v>
      </c>
      <c r="J62" s="123" t="s">
        <v>33</v>
      </c>
      <c r="K62" s="123" t="s">
        <v>33</v>
      </c>
      <c r="L62" s="123" t="s">
        <v>370</v>
      </c>
      <c r="M62" s="123" t="s">
        <v>33</v>
      </c>
      <c r="N62" s="123" t="s">
        <v>33</v>
      </c>
      <c r="O62" s="123">
        <v>28</v>
      </c>
      <c r="P62" s="123">
        <v>1024</v>
      </c>
      <c r="Q62" s="123" t="s">
        <v>33</v>
      </c>
      <c r="R62" s="95" t="s">
        <v>33</v>
      </c>
      <c r="S62" s="18"/>
      <c r="T62" s="18"/>
      <c r="U62" s="18"/>
      <c r="V62" s="18"/>
      <c r="W62" s="18"/>
    </row>
    <row r="63" spans="1:23" x14ac:dyDescent="0.3">
      <c r="A63" s="153"/>
      <c r="B63" s="153"/>
      <c r="C63" s="153"/>
      <c r="D63" s="153"/>
      <c r="E63" s="120" t="s">
        <v>476</v>
      </c>
      <c r="F63" s="123"/>
      <c r="G63" s="123"/>
      <c r="H63" s="123" t="s">
        <v>30</v>
      </c>
      <c r="I63" s="123" t="s">
        <v>356</v>
      </c>
      <c r="J63" s="123"/>
      <c r="K63" s="123"/>
      <c r="L63" s="96" t="s">
        <v>426</v>
      </c>
      <c r="M63" s="123"/>
      <c r="N63" s="123"/>
      <c r="O63" s="123"/>
      <c r="P63" s="123"/>
      <c r="Q63" s="123"/>
      <c r="R63" s="95"/>
      <c r="S63" s="18"/>
      <c r="T63" s="18"/>
      <c r="U63" s="18"/>
      <c r="V63" s="18"/>
      <c r="W63" s="18"/>
    </row>
    <row r="64" spans="1:23" x14ac:dyDescent="0.3">
      <c r="A64" s="152" t="s">
        <v>467</v>
      </c>
      <c r="B64" s="152" t="s">
        <v>436</v>
      </c>
      <c r="C64" s="152" t="s">
        <v>419</v>
      </c>
      <c r="D64" s="152" t="s">
        <v>477</v>
      </c>
      <c r="E64" s="120" t="s">
        <v>478</v>
      </c>
      <c r="F64" s="123" t="s">
        <v>369</v>
      </c>
      <c r="G64" s="123" t="s">
        <v>33</v>
      </c>
      <c r="H64" s="123" t="s">
        <v>30</v>
      </c>
      <c r="I64" s="123" t="s">
        <v>356</v>
      </c>
      <c r="J64" s="123" t="s">
        <v>33</v>
      </c>
      <c r="K64" s="123" t="s">
        <v>33</v>
      </c>
      <c r="L64" s="123" t="s">
        <v>370</v>
      </c>
      <c r="M64" s="123" t="s">
        <v>33</v>
      </c>
      <c r="N64" s="123" t="s">
        <v>33</v>
      </c>
      <c r="O64" s="123">
        <v>28</v>
      </c>
      <c r="P64" s="123">
        <v>1024</v>
      </c>
      <c r="Q64" s="123" t="s">
        <v>33</v>
      </c>
      <c r="R64" s="123" t="s">
        <v>33</v>
      </c>
      <c r="S64" s="18"/>
      <c r="T64" s="18"/>
      <c r="U64" s="18"/>
      <c r="V64" s="18"/>
      <c r="W64" s="18"/>
    </row>
    <row r="65" spans="1:23" x14ac:dyDescent="0.3">
      <c r="A65" s="153"/>
      <c r="B65" s="153"/>
      <c r="C65" s="153"/>
      <c r="D65" s="153"/>
      <c r="E65" s="120" t="s">
        <v>479</v>
      </c>
      <c r="F65" s="123"/>
      <c r="G65" s="123"/>
      <c r="H65" s="123" t="s">
        <v>30</v>
      </c>
      <c r="I65" s="123" t="s">
        <v>356</v>
      </c>
      <c r="J65" s="123"/>
      <c r="K65" s="123"/>
      <c r="L65" s="96" t="s">
        <v>426</v>
      </c>
      <c r="M65" s="123"/>
      <c r="N65" s="123"/>
      <c r="O65" s="123"/>
      <c r="P65" s="123"/>
      <c r="Q65" s="123"/>
      <c r="R65" s="123"/>
      <c r="S65" s="18"/>
      <c r="T65" s="18"/>
      <c r="U65" s="18"/>
      <c r="V65" s="18"/>
      <c r="W65" s="18"/>
    </row>
    <row r="66" spans="1:23" x14ac:dyDescent="0.3">
      <c r="A66" s="152" t="s">
        <v>467</v>
      </c>
      <c r="B66" s="152" t="s">
        <v>440</v>
      </c>
      <c r="C66" s="152" t="s">
        <v>419</v>
      </c>
      <c r="D66" s="152" t="s">
        <v>480</v>
      </c>
      <c r="E66" s="120" t="s">
        <v>481</v>
      </c>
      <c r="F66" s="123" t="s">
        <v>369</v>
      </c>
      <c r="G66" s="123" t="s">
        <v>33</v>
      </c>
      <c r="H66" s="123" t="s">
        <v>30</v>
      </c>
      <c r="I66" s="123" t="s">
        <v>356</v>
      </c>
      <c r="J66" s="123" t="s">
        <v>33</v>
      </c>
      <c r="K66" s="123" t="s">
        <v>33</v>
      </c>
      <c r="L66" s="123" t="s">
        <v>370</v>
      </c>
      <c r="M66" s="123" t="s">
        <v>33</v>
      </c>
      <c r="N66" s="123" t="s">
        <v>33</v>
      </c>
      <c r="O66" s="123">
        <v>28</v>
      </c>
      <c r="P66" s="123">
        <v>1024</v>
      </c>
      <c r="Q66" s="123" t="s">
        <v>33</v>
      </c>
      <c r="R66" s="123" t="s">
        <v>33</v>
      </c>
      <c r="S66" s="18"/>
      <c r="T66" s="18"/>
      <c r="U66" s="18"/>
      <c r="V66" s="18"/>
      <c r="W66" s="18"/>
    </row>
    <row r="67" spans="1:23" x14ac:dyDescent="0.3">
      <c r="A67" s="153"/>
      <c r="B67" s="153"/>
      <c r="C67" s="153"/>
      <c r="D67" s="153"/>
      <c r="E67" s="120" t="s">
        <v>482</v>
      </c>
      <c r="F67" s="123"/>
      <c r="G67" s="123"/>
      <c r="H67" s="123" t="s">
        <v>30</v>
      </c>
      <c r="I67" s="123" t="s">
        <v>356</v>
      </c>
      <c r="J67" s="123"/>
      <c r="K67" s="123"/>
      <c r="L67" s="96" t="s">
        <v>426</v>
      </c>
      <c r="M67" s="123"/>
      <c r="N67" s="123"/>
      <c r="O67" s="123"/>
      <c r="P67" s="123"/>
      <c r="Q67" s="123"/>
      <c r="R67" s="123"/>
      <c r="S67" s="18"/>
      <c r="T67" s="18"/>
      <c r="U67" s="18"/>
      <c r="V67" s="18"/>
      <c r="W67" s="18"/>
    </row>
    <row r="68" spans="1:23" x14ac:dyDescent="0.3">
      <c r="A68" s="152" t="s">
        <v>467</v>
      </c>
      <c r="B68" s="152" t="s">
        <v>444</v>
      </c>
      <c r="C68" s="152" t="s">
        <v>419</v>
      </c>
      <c r="D68" s="152" t="s">
        <v>483</v>
      </c>
      <c r="E68" s="120" t="s">
        <v>484</v>
      </c>
      <c r="F68" s="123" t="s">
        <v>369</v>
      </c>
      <c r="G68" s="123" t="s">
        <v>33</v>
      </c>
      <c r="H68" s="123" t="s">
        <v>30</v>
      </c>
      <c r="I68" s="123" t="s">
        <v>356</v>
      </c>
      <c r="J68" s="123" t="s">
        <v>33</v>
      </c>
      <c r="K68" s="123" t="s">
        <v>33</v>
      </c>
      <c r="L68" s="123" t="s">
        <v>370</v>
      </c>
      <c r="M68" s="123" t="s">
        <v>33</v>
      </c>
      <c r="N68" s="123" t="s">
        <v>33</v>
      </c>
      <c r="O68" s="123">
        <v>28</v>
      </c>
      <c r="P68" s="123">
        <v>1024</v>
      </c>
      <c r="Q68" s="123" t="s">
        <v>33</v>
      </c>
      <c r="R68" s="123" t="s">
        <v>33</v>
      </c>
      <c r="S68" s="18"/>
      <c r="T68" s="18"/>
      <c r="U68" s="18"/>
      <c r="V68" s="18"/>
      <c r="W68" s="18"/>
    </row>
    <row r="69" spans="1:23" x14ac:dyDescent="0.3">
      <c r="A69" s="153"/>
      <c r="B69" s="153"/>
      <c r="C69" s="153"/>
      <c r="D69" s="153"/>
      <c r="E69" s="120" t="s">
        <v>485</v>
      </c>
      <c r="F69" s="123"/>
      <c r="G69" s="123"/>
      <c r="H69" s="123" t="s">
        <v>30</v>
      </c>
      <c r="I69" s="123" t="s">
        <v>356</v>
      </c>
      <c r="J69" s="123"/>
      <c r="K69" s="123"/>
      <c r="L69" s="96" t="s">
        <v>426</v>
      </c>
      <c r="M69" s="123"/>
      <c r="N69" s="123"/>
      <c r="O69" s="123"/>
      <c r="P69" s="123"/>
      <c r="Q69" s="123"/>
      <c r="R69" s="123"/>
      <c r="S69" s="18"/>
      <c r="T69" s="18"/>
      <c r="U69" s="18"/>
      <c r="V69" s="18"/>
      <c r="W69" s="18"/>
    </row>
    <row r="70" spans="1:23" x14ac:dyDescent="0.3">
      <c r="A70" s="152" t="s">
        <v>486</v>
      </c>
      <c r="B70" s="152" t="s">
        <v>487</v>
      </c>
      <c r="C70" s="152" t="s">
        <v>419</v>
      </c>
      <c r="D70" s="152" t="s">
        <v>488</v>
      </c>
      <c r="E70" s="120" t="s">
        <v>489</v>
      </c>
      <c r="F70" s="123" t="s">
        <v>369</v>
      </c>
      <c r="G70" s="123" t="s">
        <v>33</v>
      </c>
      <c r="H70" s="123" t="s">
        <v>30</v>
      </c>
      <c r="I70" s="123" t="s">
        <v>356</v>
      </c>
      <c r="J70" s="123" t="s">
        <v>33</v>
      </c>
      <c r="K70" s="123" t="s">
        <v>33</v>
      </c>
      <c r="L70" s="123" t="s">
        <v>370</v>
      </c>
      <c r="M70" s="123" t="s">
        <v>33</v>
      </c>
      <c r="N70" s="123" t="s">
        <v>33</v>
      </c>
      <c r="O70" s="123">
        <v>28</v>
      </c>
      <c r="P70" s="123">
        <v>1024</v>
      </c>
      <c r="Q70" s="123" t="s">
        <v>33</v>
      </c>
      <c r="R70" s="123" t="s">
        <v>33</v>
      </c>
      <c r="S70" s="18"/>
      <c r="T70" s="18"/>
      <c r="U70" s="18"/>
      <c r="V70" s="18"/>
      <c r="W70" s="18"/>
    </row>
    <row r="71" spans="1:23" x14ac:dyDescent="0.3">
      <c r="A71" s="153"/>
      <c r="B71" s="153"/>
      <c r="C71" s="153"/>
      <c r="D71" s="153"/>
      <c r="E71" s="120" t="s">
        <v>490</v>
      </c>
      <c r="F71" s="123"/>
      <c r="G71" s="123"/>
      <c r="H71" s="123" t="s">
        <v>30</v>
      </c>
      <c r="I71" s="123" t="s">
        <v>356</v>
      </c>
      <c r="J71" s="123"/>
      <c r="K71" s="123"/>
      <c r="L71" s="96" t="s">
        <v>426</v>
      </c>
      <c r="M71" s="123"/>
      <c r="N71" s="123"/>
      <c r="O71" s="123"/>
      <c r="P71" s="123"/>
      <c r="Q71" s="123"/>
      <c r="R71" s="123"/>
      <c r="S71" s="18"/>
      <c r="T71" s="18"/>
      <c r="U71" s="18"/>
      <c r="V71" s="18"/>
      <c r="W71" s="18"/>
    </row>
    <row r="72" spans="1:23" x14ac:dyDescent="0.3">
      <c r="A72" s="152" t="s">
        <v>486</v>
      </c>
      <c r="B72" s="152" t="s">
        <v>418</v>
      </c>
      <c r="C72" s="152" t="s">
        <v>419</v>
      </c>
      <c r="D72" s="152" t="s">
        <v>491</v>
      </c>
      <c r="E72" s="120" t="s">
        <v>492</v>
      </c>
      <c r="F72" s="123" t="s">
        <v>369</v>
      </c>
      <c r="G72" s="123" t="s">
        <v>33</v>
      </c>
      <c r="H72" s="123" t="s">
        <v>30</v>
      </c>
      <c r="I72" s="123" t="s">
        <v>356</v>
      </c>
      <c r="J72" s="123" t="s">
        <v>33</v>
      </c>
      <c r="K72" s="123" t="s">
        <v>33</v>
      </c>
      <c r="L72" s="123" t="s">
        <v>370</v>
      </c>
      <c r="M72" s="123" t="s">
        <v>33</v>
      </c>
      <c r="N72" s="123" t="s">
        <v>33</v>
      </c>
      <c r="O72" s="123">
        <v>28</v>
      </c>
      <c r="P72" s="123">
        <v>1024</v>
      </c>
      <c r="Q72" s="123" t="s">
        <v>33</v>
      </c>
      <c r="R72" s="123" t="s">
        <v>33</v>
      </c>
      <c r="S72" s="18"/>
      <c r="T72" s="18"/>
      <c r="U72" s="18"/>
      <c r="V72" s="18"/>
      <c r="W72" s="18"/>
    </row>
    <row r="73" spans="1:23" x14ac:dyDescent="0.3">
      <c r="A73" s="153"/>
      <c r="B73" s="153"/>
      <c r="C73" s="153"/>
      <c r="D73" s="153"/>
      <c r="E73" s="120" t="s">
        <v>493</v>
      </c>
      <c r="F73" s="123"/>
      <c r="G73" s="123"/>
      <c r="H73" s="123" t="s">
        <v>30</v>
      </c>
      <c r="I73" s="123" t="s">
        <v>356</v>
      </c>
      <c r="J73" s="123"/>
      <c r="K73" s="123"/>
      <c r="L73" s="96" t="s">
        <v>426</v>
      </c>
      <c r="M73" s="123"/>
      <c r="N73" s="123"/>
      <c r="O73" s="123"/>
      <c r="P73" s="123"/>
      <c r="Q73" s="123"/>
      <c r="R73" s="123"/>
      <c r="S73" s="18"/>
      <c r="T73" s="18"/>
      <c r="U73" s="18"/>
      <c r="V73" s="18"/>
      <c r="W73" s="18"/>
    </row>
    <row r="74" spans="1:23" x14ac:dyDescent="0.3">
      <c r="A74" s="152" t="s">
        <v>486</v>
      </c>
      <c r="B74" s="152" t="s">
        <v>427</v>
      </c>
      <c r="C74" s="152" t="s">
        <v>419</v>
      </c>
      <c r="D74" s="152" t="s">
        <v>494</v>
      </c>
      <c r="E74" s="120" t="s">
        <v>495</v>
      </c>
      <c r="F74" s="123" t="s">
        <v>369</v>
      </c>
      <c r="G74" s="123" t="s">
        <v>33</v>
      </c>
      <c r="H74" s="123" t="s">
        <v>30</v>
      </c>
      <c r="I74" s="123" t="s">
        <v>356</v>
      </c>
      <c r="J74" s="123" t="s">
        <v>33</v>
      </c>
      <c r="K74" s="123" t="s">
        <v>33</v>
      </c>
      <c r="L74" s="123" t="s">
        <v>370</v>
      </c>
      <c r="M74" s="123" t="s">
        <v>33</v>
      </c>
      <c r="N74" s="123" t="s">
        <v>33</v>
      </c>
      <c r="O74" s="123">
        <v>28</v>
      </c>
      <c r="P74" s="123">
        <v>1024</v>
      </c>
      <c r="Q74" s="123" t="s">
        <v>33</v>
      </c>
      <c r="R74" s="123" t="s">
        <v>33</v>
      </c>
      <c r="S74" s="18"/>
      <c r="T74" s="18"/>
      <c r="U74" s="18"/>
      <c r="V74" s="18"/>
      <c r="W74" s="18"/>
    </row>
    <row r="75" spans="1:23" x14ac:dyDescent="0.3">
      <c r="A75" s="153"/>
      <c r="B75" s="153"/>
      <c r="C75" s="153"/>
      <c r="D75" s="153"/>
      <c r="E75" s="120" t="s">
        <v>496</v>
      </c>
      <c r="F75" s="123"/>
      <c r="G75" s="123"/>
      <c r="H75" s="123" t="s">
        <v>30</v>
      </c>
      <c r="I75" s="123" t="s">
        <v>356</v>
      </c>
      <c r="J75" s="123"/>
      <c r="K75" s="123"/>
      <c r="L75" s="96" t="s">
        <v>426</v>
      </c>
      <c r="M75" s="123"/>
      <c r="N75" s="123"/>
      <c r="O75" s="123"/>
      <c r="P75" s="123"/>
      <c r="Q75" s="123"/>
      <c r="R75" s="123"/>
      <c r="S75" s="18"/>
      <c r="T75" s="18"/>
      <c r="U75" s="18"/>
      <c r="V75" s="18"/>
      <c r="W75" s="18"/>
    </row>
    <row r="76" spans="1:23" x14ac:dyDescent="0.3">
      <c r="A76" s="152" t="s">
        <v>486</v>
      </c>
      <c r="B76" s="152" t="s">
        <v>432</v>
      </c>
      <c r="C76" s="152" t="s">
        <v>419</v>
      </c>
      <c r="D76" s="152" t="s">
        <v>497</v>
      </c>
      <c r="E76" s="120" t="s">
        <v>498</v>
      </c>
      <c r="F76" s="123" t="s">
        <v>369</v>
      </c>
      <c r="G76" s="123" t="s">
        <v>33</v>
      </c>
      <c r="H76" s="123" t="s">
        <v>30</v>
      </c>
      <c r="I76" s="123" t="s">
        <v>356</v>
      </c>
      <c r="J76" s="123" t="s">
        <v>33</v>
      </c>
      <c r="K76" s="123" t="s">
        <v>33</v>
      </c>
      <c r="L76" s="123" t="s">
        <v>370</v>
      </c>
      <c r="M76" s="123" t="s">
        <v>33</v>
      </c>
      <c r="N76" s="123" t="s">
        <v>33</v>
      </c>
      <c r="O76" s="123">
        <v>28</v>
      </c>
      <c r="P76" s="123">
        <v>1024</v>
      </c>
      <c r="Q76" s="123" t="s">
        <v>33</v>
      </c>
      <c r="R76" s="123" t="s">
        <v>33</v>
      </c>
      <c r="S76" s="18"/>
      <c r="T76" s="18"/>
      <c r="U76" s="18"/>
      <c r="V76" s="18"/>
      <c r="W76" s="18"/>
    </row>
    <row r="77" spans="1:23" x14ac:dyDescent="0.3">
      <c r="A77" s="153"/>
      <c r="B77" s="153"/>
      <c r="C77" s="153"/>
      <c r="D77" s="153"/>
      <c r="E77" s="120" t="s">
        <v>499</v>
      </c>
      <c r="F77" s="123"/>
      <c r="G77" s="123"/>
      <c r="H77" s="123" t="s">
        <v>30</v>
      </c>
      <c r="I77" s="123" t="s">
        <v>356</v>
      </c>
      <c r="J77" s="123"/>
      <c r="K77" s="123"/>
      <c r="L77" s="96" t="s">
        <v>426</v>
      </c>
      <c r="M77" s="123"/>
      <c r="N77" s="123"/>
      <c r="O77" s="123"/>
      <c r="P77" s="123"/>
      <c r="Q77" s="123"/>
      <c r="R77" s="123"/>
      <c r="S77" s="18"/>
      <c r="T77" s="18"/>
      <c r="U77" s="18"/>
      <c r="V77" s="18"/>
      <c r="W77" s="18"/>
    </row>
    <row r="78" spans="1:23" x14ac:dyDescent="0.3">
      <c r="A78" s="152" t="s">
        <v>486</v>
      </c>
      <c r="B78" s="152" t="s">
        <v>436</v>
      </c>
      <c r="C78" s="152" t="s">
        <v>419</v>
      </c>
      <c r="D78" s="152" t="s">
        <v>500</v>
      </c>
      <c r="E78" s="120" t="s">
        <v>501</v>
      </c>
      <c r="F78" s="123" t="s">
        <v>369</v>
      </c>
      <c r="G78" s="123" t="s">
        <v>33</v>
      </c>
      <c r="H78" s="123" t="s">
        <v>30</v>
      </c>
      <c r="I78" s="123" t="s">
        <v>356</v>
      </c>
      <c r="J78" s="123" t="s">
        <v>33</v>
      </c>
      <c r="K78" s="123" t="s">
        <v>33</v>
      </c>
      <c r="L78" s="123" t="s">
        <v>370</v>
      </c>
      <c r="M78" s="123" t="s">
        <v>33</v>
      </c>
      <c r="N78" s="123" t="s">
        <v>33</v>
      </c>
      <c r="O78" s="123">
        <v>28</v>
      </c>
      <c r="P78" s="123">
        <v>1024</v>
      </c>
      <c r="Q78" s="123" t="s">
        <v>33</v>
      </c>
      <c r="R78" s="123" t="s">
        <v>33</v>
      </c>
      <c r="S78" s="18"/>
      <c r="T78" s="18"/>
      <c r="U78" s="18"/>
      <c r="V78" s="18"/>
      <c r="W78" s="18"/>
    </row>
    <row r="79" spans="1:23" x14ac:dyDescent="0.3">
      <c r="A79" s="153"/>
      <c r="B79" s="153"/>
      <c r="C79" s="153"/>
      <c r="D79" s="153"/>
      <c r="E79" s="120" t="s">
        <v>502</v>
      </c>
      <c r="F79" s="123"/>
      <c r="G79" s="123"/>
      <c r="H79" s="123" t="s">
        <v>30</v>
      </c>
      <c r="I79" s="123" t="s">
        <v>356</v>
      </c>
      <c r="J79" s="123"/>
      <c r="K79" s="123"/>
      <c r="L79" s="96" t="s">
        <v>426</v>
      </c>
      <c r="M79" s="123"/>
      <c r="N79" s="123"/>
      <c r="O79" s="123"/>
      <c r="P79" s="123"/>
      <c r="Q79" s="123"/>
      <c r="R79" s="123"/>
      <c r="S79" s="18"/>
      <c r="T79" s="18"/>
      <c r="U79" s="18"/>
      <c r="V79" s="18"/>
      <c r="W79" s="18"/>
    </row>
    <row r="80" spans="1:23" x14ac:dyDescent="0.3">
      <c r="A80" s="152" t="s">
        <v>486</v>
      </c>
      <c r="B80" s="152" t="s">
        <v>440</v>
      </c>
      <c r="C80" s="152" t="s">
        <v>419</v>
      </c>
      <c r="D80" s="152" t="s">
        <v>503</v>
      </c>
      <c r="E80" s="120" t="s">
        <v>504</v>
      </c>
      <c r="F80" s="123" t="s">
        <v>369</v>
      </c>
      <c r="G80" s="123" t="s">
        <v>33</v>
      </c>
      <c r="H80" s="123" t="s">
        <v>30</v>
      </c>
      <c r="I80" s="123" t="s">
        <v>356</v>
      </c>
      <c r="J80" s="123" t="s">
        <v>33</v>
      </c>
      <c r="K80" s="123" t="s">
        <v>33</v>
      </c>
      <c r="L80" s="123" t="s">
        <v>370</v>
      </c>
      <c r="M80" s="123" t="s">
        <v>33</v>
      </c>
      <c r="N80" s="123" t="s">
        <v>33</v>
      </c>
      <c r="O80" s="123">
        <v>28</v>
      </c>
      <c r="P80" s="123">
        <v>1024</v>
      </c>
      <c r="Q80" s="123" t="s">
        <v>33</v>
      </c>
      <c r="R80" s="123" t="s">
        <v>33</v>
      </c>
      <c r="S80" s="18"/>
      <c r="T80" s="18"/>
      <c r="U80" s="18"/>
      <c r="V80" s="18"/>
      <c r="W80" s="18"/>
    </row>
    <row r="81" spans="1:23" x14ac:dyDescent="0.3">
      <c r="A81" s="153"/>
      <c r="B81" s="153"/>
      <c r="C81" s="153"/>
      <c r="D81" s="153"/>
      <c r="E81" s="120" t="s">
        <v>505</v>
      </c>
      <c r="F81" s="123"/>
      <c r="G81" s="123"/>
      <c r="H81" s="123" t="s">
        <v>30</v>
      </c>
      <c r="I81" s="123" t="s">
        <v>356</v>
      </c>
      <c r="J81" s="123"/>
      <c r="K81" s="123"/>
      <c r="L81" s="96" t="s">
        <v>426</v>
      </c>
      <c r="M81" s="123"/>
      <c r="N81" s="123"/>
      <c r="O81" s="123"/>
      <c r="P81" s="123"/>
      <c r="Q81" s="123"/>
      <c r="R81" s="123"/>
      <c r="S81" s="18"/>
      <c r="T81" s="18"/>
      <c r="U81" s="18"/>
      <c r="V81" s="18"/>
      <c r="W81" s="18"/>
    </row>
    <row r="82" spans="1:23" x14ac:dyDescent="0.3">
      <c r="A82" s="152" t="s">
        <v>486</v>
      </c>
      <c r="B82" s="152" t="s">
        <v>444</v>
      </c>
      <c r="C82" s="152" t="s">
        <v>419</v>
      </c>
      <c r="D82" s="152" t="s">
        <v>506</v>
      </c>
      <c r="E82" s="120" t="s">
        <v>507</v>
      </c>
      <c r="F82" s="123" t="s">
        <v>369</v>
      </c>
      <c r="G82" s="123" t="s">
        <v>33</v>
      </c>
      <c r="H82" s="123" t="s">
        <v>30</v>
      </c>
      <c r="I82" s="123" t="s">
        <v>356</v>
      </c>
      <c r="J82" s="123" t="s">
        <v>33</v>
      </c>
      <c r="K82" s="123" t="s">
        <v>33</v>
      </c>
      <c r="L82" s="123" t="s">
        <v>370</v>
      </c>
      <c r="M82" s="123" t="s">
        <v>33</v>
      </c>
      <c r="N82" s="123" t="s">
        <v>33</v>
      </c>
      <c r="O82" s="123">
        <v>28</v>
      </c>
      <c r="P82" s="123">
        <v>1024</v>
      </c>
      <c r="Q82" s="123" t="s">
        <v>33</v>
      </c>
      <c r="R82" s="95" t="s">
        <v>33</v>
      </c>
      <c r="S82" s="18"/>
      <c r="T82" s="18"/>
      <c r="U82" s="18"/>
      <c r="V82" s="18"/>
      <c r="W82" s="18"/>
    </row>
    <row r="83" spans="1:23" x14ac:dyDescent="0.3">
      <c r="A83" s="153"/>
      <c r="B83" s="153"/>
      <c r="C83" s="153"/>
      <c r="D83" s="153"/>
      <c r="E83" s="120" t="s">
        <v>508</v>
      </c>
      <c r="F83" s="123"/>
      <c r="G83" s="123"/>
      <c r="H83" s="123" t="s">
        <v>30</v>
      </c>
      <c r="I83" s="123" t="s">
        <v>356</v>
      </c>
      <c r="J83" s="123"/>
      <c r="K83" s="123"/>
      <c r="L83" s="96" t="s">
        <v>426</v>
      </c>
      <c r="M83" s="123"/>
      <c r="N83" s="123"/>
      <c r="O83" s="123"/>
      <c r="P83" s="123"/>
      <c r="Q83" s="123"/>
      <c r="R83" s="95"/>
      <c r="S83" s="18"/>
      <c r="T83" s="18"/>
      <c r="U83" s="18"/>
      <c r="V83" s="18"/>
      <c r="W83" s="18"/>
    </row>
    <row r="84" spans="1:23" x14ac:dyDescent="0.3">
      <c r="A84" s="152" t="s">
        <v>509</v>
      </c>
      <c r="B84" s="152" t="s">
        <v>487</v>
      </c>
      <c r="C84" s="152" t="s">
        <v>419</v>
      </c>
      <c r="D84" s="152" t="s">
        <v>510</v>
      </c>
      <c r="E84" s="120" t="s">
        <v>511</v>
      </c>
      <c r="F84" s="123" t="s">
        <v>369</v>
      </c>
      <c r="G84" s="123" t="s">
        <v>33</v>
      </c>
      <c r="H84" s="123" t="s">
        <v>30</v>
      </c>
      <c r="I84" s="123" t="s">
        <v>356</v>
      </c>
      <c r="J84" s="123" t="s">
        <v>33</v>
      </c>
      <c r="K84" s="123" t="s">
        <v>33</v>
      </c>
      <c r="L84" s="123" t="s">
        <v>370</v>
      </c>
      <c r="M84" s="123" t="s">
        <v>33</v>
      </c>
      <c r="N84" s="123" t="s">
        <v>33</v>
      </c>
      <c r="O84" s="123">
        <v>28</v>
      </c>
      <c r="P84" s="123">
        <v>1024</v>
      </c>
      <c r="Q84" s="123" t="s">
        <v>33</v>
      </c>
      <c r="R84" s="123" t="s">
        <v>33</v>
      </c>
      <c r="S84" s="18"/>
      <c r="T84" s="18"/>
      <c r="U84" s="18"/>
      <c r="V84" s="18"/>
      <c r="W84" s="18"/>
    </row>
    <row r="85" spans="1:23" x14ac:dyDescent="0.3">
      <c r="A85" s="153"/>
      <c r="B85" s="153"/>
      <c r="C85" s="153"/>
      <c r="D85" s="153"/>
      <c r="E85" s="120" t="s">
        <v>512</v>
      </c>
      <c r="F85" s="123"/>
      <c r="G85" s="123"/>
      <c r="H85" s="123" t="s">
        <v>30</v>
      </c>
      <c r="I85" s="123" t="s">
        <v>356</v>
      </c>
      <c r="J85" s="123"/>
      <c r="K85" s="123"/>
      <c r="L85" s="96" t="s">
        <v>426</v>
      </c>
      <c r="M85" s="123"/>
      <c r="N85" s="123"/>
      <c r="O85" s="123"/>
      <c r="P85" s="123"/>
      <c r="Q85" s="123"/>
      <c r="R85" s="123"/>
      <c r="S85" s="18"/>
      <c r="T85" s="18"/>
      <c r="U85" s="18"/>
      <c r="V85" s="18"/>
      <c r="W85" s="18"/>
    </row>
    <row r="86" spans="1:23" x14ac:dyDescent="0.3">
      <c r="A86" s="152" t="s">
        <v>509</v>
      </c>
      <c r="B86" s="152" t="s">
        <v>418</v>
      </c>
      <c r="C86" s="152" t="s">
        <v>419</v>
      </c>
      <c r="D86" s="152" t="s">
        <v>513</v>
      </c>
      <c r="E86" s="120" t="s">
        <v>514</v>
      </c>
      <c r="F86" s="123" t="s">
        <v>369</v>
      </c>
      <c r="G86" s="123" t="s">
        <v>33</v>
      </c>
      <c r="H86" s="123" t="s">
        <v>30</v>
      </c>
      <c r="I86" s="123" t="s">
        <v>356</v>
      </c>
      <c r="J86" s="123" t="s">
        <v>33</v>
      </c>
      <c r="K86" s="123" t="s">
        <v>33</v>
      </c>
      <c r="L86" s="123" t="s">
        <v>370</v>
      </c>
      <c r="M86" s="123" t="s">
        <v>33</v>
      </c>
      <c r="N86" s="123" t="s">
        <v>33</v>
      </c>
      <c r="O86" s="123">
        <v>28</v>
      </c>
      <c r="P86" s="123">
        <v>1024</v>
      </c>
      <c r="Q86" s="123" t="s">
        <v>33</v>
      </c>
      <c r="R86" s="123" t="s">
        <v>33</v>
      </c>
      <c r="S86" s="18"/>
      <c r="T86" s="18"/>
      <c r="U86" s="18"/>
      <c r="V86" s="18"/>
      <c r="W86" s="18"/>
    </row>
    <row r="87" spans="1:23" x14ac:dyDescent="0.3">
      <c r="A87" s="153"/>
      <c r="B87" s="153"/>
      <c r="C87" s="153"/>
      <c r="D87" s="153"/>
      <c r="E87" s="120" t="s">
        <v>515</v>
      </c>
      <c r="F87" s="123"/>
      <c r="G87" s="123"/>
      <c r="H87" s="123" t="s">
        <v>30</v>
      </c>
      <c r="I87" s="123" t="s">
        <v>356</v>
      </c>
      <c r="J87" s="123"/>
      <c r="K87" s="123"/>
      <c r="L87" s="96" t="s">
        <v>426</v>
      </c>
      <c r="M87" s="123"/>
      <c r="N87" s="123"/>
      <c r="O87" s="123"/>
      <c r="P87" s="123"/>
      <c r="Q87" s="123"/>
      <c r="R87" s="123"/>
      <c r="S87" s="18"/>
      <c r="T87" s="18"/>
      <c r="U87" s="18"/>
      <c r="V87" s="18"/>
      <c r="W87" s="18"/>
    </row>
    <row r="88" spans="1:23" x14ac:dyDescent="0.3">
      <c r="A88" s="152" t="s">
        <v>509</v>
      </c>
      <c r="B88" s="152" t="s">
        <v>427</v>
      </c>
      <c r="C88" s="152" t="s">
        <v>419</v>
      </c>
      <c r="D88" s="152" t="s">
        <v>516</v>
      </c>
      <c r="E88" s="120" t="s">
        <v>517</v>
      </c>
      <c r="F88" s="123" t="s">
        <v>369</v>
      </c>
      <c r="G88" s="123" t="s">
        <v>33</v>
      </c>
      <c r="H88" s="123" t="s">
        <v>30</v>
      </c>
      <c r="I88" s="123" t="s">
        <v>356</v>
      </c>
      <c r="J88" s="123" t="s">
        <v>33</v>
      </c>
      <c r="K88" s="123" t="s">
        <v>33</v>
      </c>
      <c r="L88" s="123" t="s">
        <v>370</v>
      </c>
      <c r="M88" s="123" t="s">
        <v>33</v>
      </c>
      <c r="N88" s="123" t="s">
        <v>33</v>
      </c>
      <c r="O88" s="123">
        <v>28</v>
      </c>
      <c r="P88" s="123">
        <v>1024</v>
      </c>
      <c r="Q88" s="123" t="s">
        <v>33</v>
      </c>
      <c r="R88" s="123" t="s">
        <v>33</v>
      </c>
      <c r="S88" s="18"/>
      <c r="T88" s="18"/>
      <c r="U88" s="18"/>
      <c r="V88" s="18"/>
      <c r="W88" s="18"/>
    </row>
    <row r="89" spans="1:23" x14ac:dyDescent="0.3">
      <c r="A89" s="153"/>
      <c r="B89" s="153"/>
      <c r="C89" s="153"/>
      <c r="D89" s="153"/>
      <c r="E89" s="120" t="s">
        <v>518</v>
      </c>
      <c r="F89" s="123"/>
      <c r="G89" s="123"/>
      <c r="H89" s="123" t="s">
        <v>30</v>
      </c>
      <c r="I89" s="123" t="s">
        <v>356</v>
      </c>
      <c r="J89" s="123"/>
      <c r="K89" s="123"/>
      <c r="L89" s="96" t="s">
        <v>426</v>
      </c>
      <c r="M89" s="123"/>
      <c r="N89" s="123"/>
      <c r="O89" s="123"/>
      <c r="P89" s="123"/>
      <c r="Q89" s="123"/>
      <c r="R89" s="123"/>
      <c r="S89" s="18"/>
      <c r="T89" s="18"/>
      <c r="U89" s="18"/>
      <c r="V89" s="18"/>
      <c r="W89" s="18"/>
    </row>
    <row r="90" spans="1:23" x14ac:dyDescent="0.3">
      <c r="A90" s="152" t="s">
        <v>509</v>
      </c>
      <c r="B90" s="152" t="s">
        <v>432</v>
      </c>
      <c r="C90" s="152" t="s">
        <v>419</v>
      </c>
      <c r="D90" s="152" t="s">
        <v>519</v>
      </c>
      <c r="E90" s="120" t="s">
        <v>520</v>
      </c>
      <c r="F90" s="123" t="s">
        <v>369</v>
      </c>
      <c r="G90" s="123" t="s">
        <v>33</v>
      </c>
      <c r="H90" s="123" t="s">
        <v>30</v>
      </c>
      <c r="I90" s="123" t="s">
        <v>356</v>
      </c>
      <c r="J90" s="123" t="s">
        <v>33</v>
      </c>
      <c r="K90" s="123" t="s">
        <v>33</v>
      </c>
      <c r="L90" s="123" t="s">
        <v>370</v>
      </c>
      <c r="M90" s="123" t="s">
        <v>33</v>
      </c>
      <c r="N90" s="123" t="s">
        <v>33</v>
      </c>
      <c r="O90" s="123">
        <v>28</v>
      </c>
      <c r="P90" s="123">
        <v>1024</v>
      </c>
      <c r="Q90" s="123" t="s">
        <v>33</v>
      </c>
      <c r="R90" s="123" t="s">
        <v>33</v>
      </c>
      <c r="S90" s="18"/>
      <c r="T90" s="18"/>
      <c r="U90" s="18"/>
      <c r="V90" s="18"/>
      <c r="W90" s="18"/>
    </row>
    <row r="91" spans="1:23" x14ac:dyDescent="0.3">
      <c r="A91" s="153"/>
      <c r="B91" s="153"/>
      <c r="C91" s="153"/>
      <c r="D91" s="153"/>
      <c r="E91" s="120" t="s">
        <v>521</v>
      </c>
      <c r="F91" s="123"/>
      <c r="G91" s="123"/>
      <c r="H91" s="123" t="s">
        <v>30</v>
      </c>
      <c r="I91" s="123" t="s">
        <v>356</v>
      </c>
      <c r="J91" s="123"/>
      <c r="K91" s="123"/>
      <c r="L91" s="96" t="s">
        <v>426</v>
      </c>
      <c r="M91" s="123"/>
      <c r="N91" s="123"/>
      <c r="O91" s="123"/>
      <c r="P91" s="123"/>
      <c r="Q91" s="123"/>
      <c r="R91" s="123"/>
      <c r="S91" s="18"/>
      <c r="T91" s="18"/>
      <c r="U91" s="18"/>
      <c r="V91" s="18"/>
      <c r="W91" s="18"/>
    </row>
    <row r="92" spans="1:23" x14ac:dyDescent="0.3">
      <c r="A92" s="152" t="s">
        <v>509</v>
      </c>
      <c r="B92" s="152" t="s">
        <v>436</v>
      </c>
      <c r="C92" s="152" t="s">
        <v>419</v>
      </c>
      <c r="D92" s="152" t="s">
        <v>522</v>
      </c>
      <c r="E92" s="120" t="s">
        <v>523</v>
      </c>
      <c r="F92" s="123" t="s">
        <v>369</v>
      </c>
      <c r="G92" s="123" t="s">
        <v>33</v>
      </c>
      <c r="H92" s="123" t="s">
        <v>30</v>
      </c>
      <c r="I92" s="123" t="s">
        <v>356</v>
      </c>
      <c r="J92" s="123" t="s">
        <v>33</v>
      </c>
      <c r="K92" s="123" t="s">
        <v>33</v>
      </c>
      <c r="L92" s="123" t="s">
        <v>370</v>
      </c>
      <c r="M92" s="123" t="s">
        <v>33</v>
      </c>
      <c r="N92" s="123" t="s">
        <v>33</v>
      </c>
      <c r="O92" s="123">
        <v>28</v>
      </c>
      <c r="P92" s="123">
        <v>1024</v>
      </c>
      <c r="Q92" s="123" t="s">
        <v>33</v>
      </c>
      <c r="R92" s="123" t="s">
        <v>33</v>
      </c>
      <c r="S92" s="18"/>
      <c r="T92" s="18"/>
      <c r="U92" s="18"/>
      <c r="V92" s="18"/>
      <c r="W92" s="18"/>
    </row>
    <row r="93" spans="1:23" x14ac:dyDescent="0.3">
      <c r="A93" s="153"/>
      <c r="B93" s="153"/>
      <c r="C93" s="153"/>
      <c r="D93" s="153"/>
      <c r="E93" s="120" t="s">
        <v>524</v>
      </c>
      <c r="F93" s="123"/>
      <c r="G93" s="123"/>
      <c r="H93" s="123" t="s">
        <v>30</v>
      </c>
      <c r="I93" s="123" t="s">
        <v>356</v>
      </c>
      <c r="J93" s="123"/>
      <c r="K93" s="123"/>
      <c r="L93" s="96" t="s">
        <v>426</v>
      </c>
      <c r="M93" s="123"/>
      <c r="N93" s="123"/>
      <c r="O93" s="123"/>
      <c r="P93" s="123"/>
      <c r="Q93" s="123"/>
      <c r="R93" s="123"/>
      <c r="S93" s="18"/>
      <c r="T93" s="18"/>
      <c r="U93" s="18"/>
      <c r="V93" s="18"/>
      <c r="W93" s="18"/>
    </row>
    <row r="94" spans="1:23" x14ac:dyDescent="0.3">
      <c r="A94" s="152" t="s">
        <v>509</v>
      </c>
      <c r="B94" s="152" t="s">
        <v>440</v>
      </c>
      <c r="C94" s="152" t="s">
        <v>419</v>
      </c>
      <c r="D94" s="152" t="s">
        <v>525</v>
      </c>
      <c r="E94" s="120" t="s">
        <v>526</v>
      </c>
      <c r="F94" s="123" t="s">
        <v>369</v>
      </c>
      <c r="G94" s="123" t="s">
        <v>33</v>
      </c>
      <c r="H94" s="123" t="s">
        <v>30</v>
      </c>
      <c r="I94" s="123" t="s">
        <v>356</v>
      </c>
      <c r="J94" s="123" t="s">
        <v>33</v>
      </c>
      <c r="K94" s="123" t="s">
        <v>33</v>
      </c>
      <c r="L94" s="123" t="s">
        <v>370</v>
      </c>
      <c r="M94" s="123" t="s">
        <v>33</v>
      </c>
      <c r="N94" s="123" t="s">
        <v>33</v>
      </c>
      <c r="O94" s="123">
        <v>28</v>
      </c>
      <c r="P94" s="123">
        <v>1024</v>
      </c>
      <c r="Q94" s="123" t="s">
        <v>33</v>
      </c>
      <c r="R94" s="123" t="s">
        <v>33</v>
      </c>
      <c r="S94" s="18"/>
      <c r="T94" s="18"/>
      <c r="U94" s="18"/>
      <c r="V94" s="18"/>
      <c r="W94" s="18"/>
    </row>
    <row r="95" spans="1:23" x14ac:dyDescent="0.3">
      <c r="A95" s="153"/>
      <c r="B95" s="153"/>
      <c r="C95" s="153"/>
      <c r="D95" s="153"/>
      <c r="E95" s="120" t="s">
        <v>527</v>
      </c>
      <c r="F95" s="123"/>
      <c r="G95" s="123"/>
      <c r="H95" s="123" t="s">
        <v>30</v>
      </c>
      <c r="I95" s="123" t="s">
        <v>356</v>
      </c>
      <c r="J95" s="123"/>
      <c r="K95" s="123"/>
      <c r="L95" s="96" t="s">
        <v>426</v>
      </c>
      <c r="M95" s="123"/>
      <c r="N95" s="123"/>
      <c r="O95" s="123"/>
      <c r="P95" s="123"/>
      <c r="Q95" s="123"/>
      <c r="R95" s="123"/>
      <c r="S95" s="18"/>
      <c r="T95" s="18"/>
      <c r="U95" s="18"/>
      <c r="V95" s="18"/>
      <c r="W95" s="18"/>
    </row>
    <row r="96" spans="1:23" x14ac:dyDescent="0.3">
      <c r="A96" s="152" t="s">
        <v>509</v>
      </c>
      <c r="B96" s="152" t="s">
        <v>444</v>
      </c>
      <c r="C96" s="152" t="s">
        <v>419</v>
      </c>
      <c r="D96" s="152" t="s">
        <v>528</v>
      </c>
      <c r="E96" s="120" t="s">
        <v>529</v>
      </c>
      <c r="F96" s="123" t="s">
        <v>369</v>
      </c>
      <c r="G96" s="123" t="s">
        <v>33</v>
      </c>
      <c r="H96" s="123" t="s">
        <v>30</v>
      </c>
      <c r="I96" s="123" t="s">
        <v>356</v>
      </c>
      <c r="J96" s="123" t="s">
        <v>33</v>
      </c>
      <c r="K96" s="123" t="s">
        <v>33</v>
      </c>
      <c r="L96" s="123" t="s">
        <v>370</v>
      </c>
      <c r="M96" s="123" t="s">
        <v>33</v>
      </c>
      <c r="N96" s="123" t="s">
        <v>33</v>
      </c>
      <c r="O96" s="123">
        <v>28</v>
      </c>
      <c r="P96" s="123">
        <v>1024</v>
      </c>
      <c r="Q96" s="123" t="s">
        <v>33</v>
      </c>
      <c r="R96" s="123" t="s">
        <v>33</v>
      </c>
      <c r="S96" s="18"/>
      <c r="T96" s="18"/>
      <c r="U96" s="18"/>
      <c r="V96" s="18"/>
      <c r="W96" s="18"/>
    </row>
    <row r="97" spans="1:23" x14ac:dyDescent="0.3">
      <c r="A97" s="153"/>
      <c r="B97" s="153"/>
      <c r="C97" s="153"/>
      <c r="D97" s="153"/>
      <c r="E97" s="120" t="s">
        <v>530</v>
      </c>
      <c r="F97" s="123"/>
      <c r="G97" s="123"/>
      <c r="H97" s="123" t="s">
        <v>30</v>
      </c>
      <c r="I97" s="123" t="s">
        <v>356</v>
      </c>
      <c r="J97" s="123"/>
      <c r="K97" s="123"/>
      <c r="L97" s="96" t="s">
        <v>426</v>
      </c>
      <c r="M97" s="123"/>
      <c r="N97" s="123"/>
      <c r="O97" s="123"/>
      <c r="P97" s="123"/>
      <c r="Q97" s="123"/>
      <c r="R97" s="123"/>
      <c r="S97" s="18"/>
      <c r="T97" s="18"/>
      <c r="U97" s="18"/>
      <c r="V97" s="18"/>
      <c r="W97" s="18"/>
    </row>
    <row r="98" spans="1:23" x14ac:dyDescent="0.3">
      <c r="A98" s="152" t="s">
        <v>531</v>
      </c>
      <c r="B98" s="152" t="s">
        <v>487</v>
      </c>
      <c r="C98" s="152" t="s">
        <v>419</v>
      </c>
      <c r="D98" s="152" t="s">
        <v>532</v>
      </c>
      <c r="E98" s="120" t="s">
        <v>533</v>
      </c>
      <c r="F98" s="123" t="s">
        <v>369</v>
      </c>
      <c r="G98" s="123" t="s">
        <v>33</v>
      </c>
      <c r="H98" s="123" t="s">
        <v>30</v>
      </c>
      <c r="I98" s="123" t="s">
        <v>356</v>
      </c>
      <c r="J98" s="123" t="s">
        <v>33</v>
      </c>
      <c r="K98" s="123" t="s">
        <v>33</v>
      </c>
      <c r="L98" s="123" t="s">
        <v>534</v>
      </c>
      <c r="M98" s="123" t="s">
        <v>33</v>
      </c>
      <c r="N98" s="123" t="s">
        <v>33</v>
      </c>
      <c r="O98" s="123">
        <v>28</v>
      </c>
      <c r="P98" s="123">
        <v>1024</v>
      </c>
      <c r="Q98" s="123" t="s">
        <v>33</v>
      </c>
      <c r="R98" s="123" t="s">
        <v>33</v>
      </c>
      <c r="S98" s="18"/>
      <c r="T98" s="18"/>
      <c r="U98" s="18"/>
      <c r="V98" s="18"/>
      <c r="W98" s="18"/>
    </row>
    <row r="99" spans="1:23" x14ac:dyDescent="0.3">
      <c r="A99" s="153"/>
      <c r="B99" s="153"/>
      <c r="C99" s="153"/>
      <c r="D99" s="153"/>
      <c r="E99" s="120" t="s">
        <v>535</v>
      </c>
      <c r="F99" s="123"/>
      <c r="G99" s="123"/>
      <c r="H99" s="123" t="s">
        <v>30</v>
      </c>
      <c r="I99" s="123" t="s">
        <v>356</v>
      </c>
      <c r="J99" s="123"/>
      <c r="K99" s="123"/>
      <c r="L99" s="96" t="s">
        <v>536</v>
      </c>
      <c r="M99" s="123"/>
      <c r="N99" s="123"/>
      <c r="O99" s="123"/>
      <c r="P99" s="123"/>
      <c r="Q99" s="123"/>
      <c r="R99" s="123"/>
      <c r="S99" s="18"/>
      <c r="T99" s="18"/>
      <c r="U99" s="18"/>
      <c r="V99" s="18"/>
      <c r="W99" s="18"/>
    </row>
    <row r="100" spans="1:23" x14ac:dyDescent="0.3">
      <c r="A100" s="152" t="s">
        <v>531</v>
      </c>
      <c r="B100" s="152" t="s">
        <v>418</v>
      </c>
      <c r="C100" s="152" t="s">
        <v>419</v>
      </c>
      <c r="D100" s="152" t="s">
        <v>537</v>
      </c>
      <c r="E100" s="120" t="s">
        <v>538</v>
      </c>
      <c r="F100" s="123" t="s">
        <v>369</v>
      </c>
      <c r="G100" s="123" t="s">
        <v>33</v>
      </c>
      <c r="H100" s="123" t="s">
        <v>30</v>
      </c>
      <c r="I100" s="123" t="s">
        <v>356</v>
      </c>
      <c r="J100" s="123" t="s">
        <v>33</v>
      </c>
      <c r="K100" s="123" t="s">
        <v>33</v>
      </c>
      <c r="L100" s="123" t="s">
        <v>534</v>
      </c>
      <c r="M100" s="123" t="s">
        <v>33</v>
      </c>
      <c r="N100" s="123" t="s">
        <v>33</v>
      </c>
      <c r="O100" s="123">
        <v>28</v>
      </c>
      <c r="P100" s="123">
        <v>1024</v>
      </c>
      <c r="Q100" s="123" t="s">
        <v>33</v>
      </c>
      <c r="R100" s="123" t="s">
        <v>33</v>
      </c>
      <c r="S100" s="18"/>
      <c r="T100" s="18"/>
      <c r="U100" s="18"/>
      <c r="V100" s="18"/>
      <c r="W100" s="18"/>
    </row>
    <row r="101" spans="1:23" x14ac:dyDescent="0.3">
      <c r="A101" s="153"/>
      <c r="B101" s="153"/>
      <c r="C101" s="153"/>
      <c r="D101" s="153"/>
      <c r="E101" s="120" t="s">
        <v>539</v>
      </c>
      <c r="F101" s="123"/>
      <c r="G101" s="123"/>
      <c r="H101" s="123" t="s">
        <v>30</v>
      </c>
      <c r="I101" s="123" t="s">
        <v>356</v>
      </c>
      <c r="J101" s="123"/>
      <c r="K101" s="123"/>
      <c r="L101" s="96" t="s">
        <v>536</v>
      </c>
      <c r="M101" s="123"/>
      <c r="N101" s="123"/>
      <c r="O101" s="123"/>
      <c r="P101" s="123"/>
      <c r="Q101" s="123"/>
      <c r="R101" s="123"/>
      <c r="S101" s="18"/>
      <c r="T101" s="18"/>
      <c r="U101" s="18"/>
      <c r="V101" s="18"/>
      <c r="W101" s="18"/>
    </row>
    <row r="102" spans="1:23" x14ac:dyDescent="0.3">
      <c r="A102" s="152" t="s">
        <v>531</v>
      </c>
      <c r="B102" s="152" t="s">
        <v>427</v>
      </c>
      <c r="C102" s="152" t="s">
        <v>419</v>
      </c>
      <c r="D102" s="152" t="s">
        <v>540</v>
      </c>
      <c r="E102" s="120" t="s">
        <v>541</v>
      </c>
      <c r="F102" s="123" t="s">
        <v>369</v>
      </c>
      <c r="G102" s="123" t="s">
        <v>33</v>
      </c>
      <c r="H102" s="123" t="s">
        <v>30</v>
      </c>
      <c r="I102" s="123" t="s">
        <v>356</v>
      </c>
      <c r="J102" s="123" t="s">
        <v>33</v>
      </c>
      <c r="K102" s="123" t="s">
        <v>33</v>
      </c>
      <c r="L102" s="123" t="s">
        <v>534</v>
      </c>
      <c r="M102" s="123" t="s">
        <v>33</v>
      </c>
      <c r="N102" s="123" t="s">
        <v>33</v>
      </c>
      <c r="O102" s="123">
        <v>28</v>
      </c>
      <c r="P102" s="123">
        <v>1024</v>
      </c>
      <c r="Q102" s="123" t="s">
        <v>33</v>
      </c>
      <c r="R102" s="123" t="s">
        <v>33</v>
      </c>
      <c r="S102" s="18"/>
      <c r="T102" s="18"/>
      <c r="U102" s="18"/>
      <c r="V102" s="18"/>
      <c r="W102" s="18"/>
    </row>
    <row r="103" spans="1:23" x14ac:dyDescent="0.3">
      <c r="A103" s="153"/>
      <c r="B103" s="153"/>
      <c r="C103" s="153"/>
      <c r="D103" s="153"/>
      <c r="E103" s="120" t="s">
        <v>542</v>
      </c>
      <c r="F103" s="123"/>
      <c r="G103" s="123"/>
      <c r="H103" s="123" t="s">
        <v>30</v>
      </c>
      <c r="I103" s="123" t="s">
        <v>356</v>
      </c>
      <c r="J103" s="123"/>
      <c r="K103" s="123"/>
      <c r="L103" s="96" t="s">
        <v>536</v>
      </c>
      <c r="M103" s="123"/>
      <c r="N103" s="123"/>
      <c r="O103" s="123"/>
      <c r="P103" s="123"/>
      <c r="Q103" s="123"/>
      <c r="R103" s="123"/>
      <c r="S103" s="18"/>
      <c r="T103" s="18"/>
      <c r="U103" s="18"/>
      <c r="V103" s="18"/>
      <c r="W103" s="18"/>
    </row>
    <row r="104" spans="1:23" x14ac:dyDescent="0.3">
      <c r="A104" s="152" t="s">
        <v>531</v>
      </c>
      <c r="B104" s="152" t="s">
        <v>432</v>
      </c>
      <c r="C104" s="152" t="s">
        <v>419</v>
      </c>
      <c r="D104" s="152" t="s">
        <v>543</v>
      </c>
      <c r="E104" s="120" t="s">
        <v>544</v>
      </c>
      <c r="F104" s="123" t="s">
        <v>369</v>
      </c>
      <c r="G104" s="123" t="s">
        <v>33</v>
      </c>
      <c r="H104" s="123" t="s">
        <v>30</v>
      </c>
      <c r="I104" s="123" t="s">
        <v>356</v>
      </c>
      <c r="J104" s="123" t="s">
        <v>33</v>
      </c>
      <c r="K104" s="123" t="s">
        <v>33</v>
      </c>
      <c r="L104" s="123" t="s">
        <v>534</v>
      </c>
      <c r="M104" s="123" t="s">
        <v>33</v>
      </c>
      <c r="N104" s="123" t="s">
        <v>33</v>
      </c>
      <c r="O104" s="123">
        <v>28</v>
      </c>
      <c r="P104" s="123">
        <v>1024</v>
      </c>
      <c r="Q104" s="123" t="s">
        <v>33</v>
      </c>
      <c r="R104" s="123" t="s">
        <v>33</v>
      </c>
      <c r="S104" s="18"/>
      <c r="T104" s="18"/>
      <c r="U104" s="18"/>
      <c r="V104" s="18"/>
      <c r="W104" s="18"/>
    </row>
    <row r="105" spans="1:23" x14ac:dyDescent="0.3">
      <c r="A105" s="153"/>
      <c r="B105" s="153"/>
      <c r="C105" s="153"/>
      <c r="D105" s="153"/>
      <c r="E105" s="120" t="s">
        <v>545</v>
      </c>
      <c r="F105" s="123"/>
      <c r="G105" s="123"/>
      <c r="H105" s="123" t="s">
        <v>30</v>
      </c>
      <c r="I105" s="123" t="s">
        <v>356</v>
      </c>
      <c r="J105" s="123"/>
      <c r="K105" s="123"/>
      <c r="L105" s="96" t="s">
        <v>536</v>
      </c>
      <c r="M105" s="123"/>
      <c r="N105" s="123"/>
      <c r="O105" s="123"/>
      <c r="P105" s="123"/>
      <c r="Q105" s="123"/>
      <c r="R105" s="123"/>
      <c r="S105" s="18"/>
      <c r="T105" s="18"/>
      <c r="U105" s="18"/>
      <c r="V105" s="18"/>
      <c r="W105" s="18"/>
    </row>
    <row r="106" spans="1:23" x14ac:dyDescent="0.3">
      <c r="A106" s="152" t="s">
        <v>531</v>
      </c>
      <c r="B106" s="152" t="s">
        <v>436</v>
      </c>
      <c r="C106" s="152" t="s">
        <v>419</v>
      </c>
      <c r="D106" s="152" t="s">
        <v>546</v>
      </c>
      <c r="E106" s="120" t="s">
        <v>547</v>
      </c>
      <c r="F106" s="123" t="s">
        <v>369</v>
      </c>
      <c r="G106" s="123" t="s">
        <v>33</v>
      </c>
      <c r="H106" s="123" t="s">
        <v>30</v>
      </c>
      <c r="I106" s="123" t="s">
        <v>356</v>
      </c>
      <c r="J106" s="123" t="s">
        <v>33</v>
      </c>
      <c r="K106" s="123" t="s">
        <v>33</v>
      </c>
      <c r="L106" s="123" t="s">
        <v>534</v>
      </c>
      <c r="M106" s="123" t="s">
        <v>33</v>
      </c>
      <c r="N106" s="123" t="s">
        <v>33</v>
      </c>
      <c r="O106" s="123">
        <v>28</v>
      </c>
      <c r="P106" s="123">
        <v>1024</v>
      </c>
      <c r="Q106" s="123" t="s">
        <v>33</v>
      </c>
      <c r="R106" s="123" t="s">
        <v>33</v>
      </c>
      <c r="S106" s="18"/>
      <c r="T106" s="18"/>
      <c r="U106" s="18"/>
      <c r="V106" s="18"/>
      <c r="W106" s="18"/>
    </row>
    <row r="107" spans="1:23" x14ac:dyDescent="0.3">
      <c r="A107" s="153"/>
      <c r="B107" s="153"/>
      <c r="C107" s="153"/>
      <c r="D107" s="153"/>
      <c r="E107" s="120" t="s">
        <v>548</v>
      </c>
      <c r="F107" s="123"/>
      <c r="G107" s="123"/>
      <c r="H107" s="123" t="s">
        <v>30</v>
      </c>
      <c r="I107" s="123" t="s">
        <v>356</v>
      </c>
      <c r="J107" s="123"/>
      <c r="K107" s="123"/>
      <c r="L107" s="96" t="s">
        <v>536</v>
      </c>
      <c r="M107" s="123"/>
      <c r="N107" s="123"/>
      <c r="O107" s="123"/>
      <c r="P107" s="123"/>
      <c r="Q107" s="123"/>
      <c r="R107" s="123"/>
      <c r="S107" s="18"/>
      <c r="T107" s="18"/>
      <c r="U107" s="18"/>
      <c r="V107" s="18"/>
      <c r="W107" s="18"/>
    </row>
    <row r="108" spans="1:23" x14ac:dyDescent="0.3">
      <c r="A108" s="152" t="s">
        <v>549</v>
      </c>
      <c r="B108" s="152" t="s">
        <v>436</v>
      </c>
      <c r="C108" s="152" t="s">
        <v>419</v>
      </c>
      <c r="D108" s="152" t="s">
        <v>550</v>
      </c>
      <c r="E108" s="120" t="s">
        <v>551</v>
      </c>
      <c r="F108" s="123" t="s">
        <v>369</v>
      </c>
      <c r="G108" s="123" t="s">
        <v>33</v>
      </c>
      <c r="H108" s="123" t="s">
        <v>30</v>
      </c>
      <c r="I108" s="123" t="s">
        <v>356</v>
      </c>
      <c r="J108" s="123" t="s">
        <v>33</v>
      </c>
      <c r="K108" s="123" t="s">
        <v>33</v>
      </c>
      <c r="L108" s="123" t="s">
        <v>370</v>
      </c>
      <c r="M108" s="123" t="s">
        <v>33</v>
      </c>
      <c r="N108" s="123" t="s">
        <v>33</v>
      </c>
      <c r="O108" s="123">
        <v>28</v>
      </c>
      <c r="P108" s="123">
        <v>1024</v>
      </c>
      <c r="Q108" s="123" t="s">
        <v>33</v>
      </c>
      <c r="R108" s="123" t="s">
        <v>33</v>
      </c>
      <c r="S108" s="18"/>
      <c r="T108" s="18"/>
      <c r="U108" s="18"/>
      <c r="V108" s="18"/>
      <c r="W108" s="18"/>
    </row>
    <row r="109" spans="1:23" x14ac:dyDescent="0.3">
      <c r="A109" s="153"/>
      <c r="B109" s="153"/>
      <c r="C109" s="153"/>
      <c r="D109" s="153"/>
      <c r="E109" s="120" t="s">
        <v>470</v>
      </c>
      <c r="F109" s="123"/>
      <c r="G109" s="123"/>
      <c r="H109" s="123" t="s">
        <v>30</v>
      </c>
      <c r="I109" s="123" t="s">
        <v>356</v>
      </c>
      <c r="J109" s="123"/>
      <c r="K109" s="123"/>
      <c r="L109" s="96" t="s">
        <v>552</v>
      </c>
      <c r="M109" s="123"/>
      <c r="N109" s="123"/>
      <c r="O109" s="123"/>
      <c r="P109" s="123"/>
      <c r="Q109" s="123"/>
      <c r="R109" s="123"/>
      <c r="S109" s="18"/>
      <c r="T109" s="18"/>
      <c r="U109" s="18"/>
      <c r="V109" s="18"/>
      <c r="W109" s="18"/>
    </row>
    <row r="110" spans="1:23" x14ac:dyDescent="0.3">
      <c r="A110" s="152" t="s">
        <v>549</v>
      </c>
      <c r="B110" s="152" t="s">
        <v>440</v>
      </c>
      <c r="C110" s="152" t="s">
        <v>419</v>
      </c>
      <c r="D110" s="152" t="s">
        <v>553</v>
      </c>
      <c r="E110" s="120" t="s">
        <v>554</v>
      </c>
      <c r="F110" s="123" t="s">
        <v>369</v>
      </c>
      <c r="G110" s="123" t="s">
        <v>33</v>
      </c>
      <c r="H110" s="123" t="s">
        <v>30</v>
      </c>
      <c r="I110" s="123" t="s">
        <v>356</v>
      </c>
      <c r="J110" s="123" t="s">
        <v>33</v>
      </c>
      <c r="K110" s="123" t="s">
        <v>33</v>
      </c>
      <c r="L110" s="123" t="s">
        <v>370</v>
      </c>
      <c r="M110" s="123" t="s">
        <v>33</v>
      </c>
      <c r="N110" s="123" t="s">
        <v>33</v>
      </c>
      <c r="O110" s="123">
        <v>28</v>
      </c>
      <c r="P110" s="123">
        <v>1024</v>
      </c>
      <c r="Q110" s="123" t="s">
        <v>33</v>
      </c>
      <c r="R110" s="123" t="s">
        <v>33</v>
      </c>
      <c r="S110" s="18"/>
      <c r="T110" s="18"/>
      <c r="U110" s="18"/>
      <c r="V110" s="18"/>
      <c r="W110" s="18"/>
    </row>
    <row r="111" spans="1:23" x14ac:dyDescent="0.3">
      <c r="A111" s="153"/>
      <c r="B111" s="153"/>
      <c r="C111" s="153"/>
      <c r="D111" s="153"/>
      <c r="E111" s="120" t="s">
        <v>473</v>
      </c>
      <c r="F111" s="123"/>
      <c r="G111" s="123"/>
      <c r="H111" s="123" t="s">
        <v>30</v>
      </c>
      <c r="I111" s="123" t="s">
        <v>356</v>
      </c>
      <c r="J111" s="123"/>
      <c r="K111" s="123"/>
      <c r="L111" s="96" t="s">
        <v>552</v>
      </c>
      <c r="M111" s="123"/>
      <c r="N111" s="123"/>
      <c r="O111" s="123"/>
      <c r="P111" s="123"/>
      <c r="Q111" s="123"/>
      <c r="R111" s="123"/>
      <c r="S111" s="18"/>
      <c r="T111" s="18"/>
      <c r="U111" s="18"/>
      <c r="V111" s="18"/>
      <c r="W111" s="18"/>
    </row>
    <row r="112" spans="1:23" x14ac:dyDescent="0.3">
      <c r="A112" s="152" t="s">
        <v>549</v>
      </c>
      <c r="B112" s="152" t="s">
        <v>444</v>
      </c>
      <c r="C112" s="152" t="s">
        <v>419</v>
      </c>
      <c r="D112" s="152" t="s">
        <v>555</v>
      </c>
      <c r="E112" s="120" t="s">
        <v>556</v>
      </c>
      <c r="F112" s="123" t="s">
        <v>369</v>
      </c>
      <c r="G112" s="123" t="s">
        <v>33</v>
      </c>
      <c r="H112" s="123" t="s">
        <v>30</v>
      </c>
      <c r="I112" s="123" t="s">
        <v>356</v>
      </c>
      <c r="J112" s="123" t="s">
        <v>33</v>
      </c>
      <c r="K112" s="123" t="s">
        <v>33</v>
      </c>
      <c r="L112" s="123" t="s">
        <v>370</v>
      </c>
      <c r="M112" s="123" t="s">
        <v>33</v>
      </c>
      <c r="N112" s="123" t="s">
        <v>33</v>
      </c>
      <c r="O112" s="123">
        <v>28</v>
      </c>
      <c r="P112" s="123">
        <v>1024</v>
      </c>
      <c r="Q112" s="123" t="s">
        <v>33</v>
      </c>
      <c r="R112" s="123" t="s">
        <v>33</v>
      </c>
      <c r="S112" s="18"/>
      <c r="T112" s="18"/>
      <c r="U112" s="18"/>
      <c r="V112" s="18"/>
      <c r="W112" s="18"/>
    </row>
    <row r="113" spans="1:23" x14ac:dyDescent="0.3">
      <c r="A113" s="153"/>
      <c r="B113" s="153"/>
      <c r="C113" s="153"/>
      <c r="D113" s="153"/>
      <c r="E113" s="120" t="s">
        <v>476</v>
      </c>
      <c r="F113" s="123"/>
      <c r="G113" s="123"/>
      <c r="H113" s="123" t="s">
        <v>30</v>
      </c>
      <c r="I113" s="123" t="s">
        <v>356</v>
      </c>
      <c r="J113" s="123"/>
      <c r="K113" s="123"/>
      <c r="L113" s="96" t="s">
        <v>426</v>
      </c>
      <c r="M113" s="123"/>
      <c r="N113" s="123"/>
      <c r="O113" s="123"/>
      <c r="P113" s="123"/>
      <c r="Q113" s="123"/>
      <c r="R113" s="123"/>
      <c r="S113" s="18"/>
      <c r="T113" s="18"/>
      <c r="U113" s="18"/>
      <c r="V113" s="18"/>
      <c r="W113" s="18"/>
    </row>
    <row r="114" spans="1:23" x14ac:dyDescent="0.3">
      <c r="A114" s="152" t="s">
        <v>531</v>
      </c>
      <c r="B114" s="152" t="s">
        <v>440</v>
      </c>
      <c r="C114" s="152" t="s">
        <v>419</v>
      </c>
      <c r="D114" s="152" t="s">
        <v>557</v>
      </c>
      <c r="E114" s="120" t="s">
        <v>558</v>
      </c>
      <c r="F114" s="123" t="s">
        <v>369</v>
      </c>
      <c r="G114" s="123" t="s">
        <v>33</v>
      </c>
      <c r="H114" s="123" t="s">
        <v>30</v>
      </c>
      <c r="I114" s="123" t="s">
        <v>356</v>
      </c>
      <c r="J114" s="123" t="s">
        <v>33</v>
      </c>
      <c r="K114" s="123" t="s">
        <v>33</v>
      </c>
      <c r="L114" s="123" t="s">
        <v>559</v>
      </c>
      <c r="M114" s="123" t="s">
        <v>33</v>
      </c>
      <c r="N114" s="123" t="s">
        <v>33</v>
      </c>
      <c r="O114" s="123">
        <v>28</v>
      </c>
      <c r="P114" s="123">
        <v>1024</v>
      </c>
      <c r="Q114" s="123" t="s">
        <v>33</v>
      </c>
      <c r="R114" s="123" t="s">
        <v>33</v>
      </c>
      <c r="S114" s="18"/>
      <c r="T114" s="18"/>
      <c r="U114" s="18"/>
      <c r="V114" s="18"/>
      <c r="W114" s="18"/>
    </row>
    <row r="115" spans="1:23" x14ac:dyDescent="0.3">
      <c r="A115" s="153"/>
      <c r="B115" s="153"/>
      <c r="C115" s="153"/>
      <c r="D115" s="153"/>
      <c r="E115" s="120" t="s">
        <v>479</v>
      </c>
      <c r="F115" s="123"/>
      <c r="G115" s="123"/>
      <c r="H115" s="123" t="s">
        <v>30</v>
      </c>
      <c r="I115" s="123" t="s">
        <v>356</v>
      </c>
      <c r="J115" s="123"/>
      <c r="K115" s="123"/>
      <c r="L115" s="96" t="s">
        <v>560</v>
      </c>
      <c r="M115" s="123"/>
      <c r="N115" s="123"/>
      <c r="O115" s="123"/>
      <c r="P115" s="123"/>
      <c r="Q115" s="123"/>
      <c r="R115" s="123"/>
      <c r="S115" s="18"/>
      <c r="T115" s="18"/>
      <c r="U115" s="18"/>
      <c r="V115" s="18"/>
      <c r="W115" s="18"/>
    </row>
    <row r="116" spans="1:23" x14ac:dyDescent="0.3">
      <c r="A116" s="152" t="s">
        <v>531</v>
      </c>
      <c r="B116" s="152" t="s">
        <v>444</v>
      </c>
      <c r="C116" s="152" t="s">
        <v>419</v>
      </c>
      <c r="D116" s="152" t="s">
        <v>561</v>
      </c>
      <c r="E116" s="120" t="s">
        <v>562</v>
      </c>
      <c r="F116" s="123" t="s">
        <v>369</v>
      </c>
      <c r="G116" s="123" t="s">
        <v>33</v>
      </c>
      <c r="H116" s="123" t="s">
        <v>30</v>
      </c>
      <c r="I116" s="123" t="s">
        <v>356</v>
      </c>
      <c r="J116" s="123" t="s">
        <v>33</v>
      </c>
      <c r="K116" s="123" t="s">
        <v>33</v>
      </c>
      <c r="L116" s="123" t="s">
        <v>559</v>
      </c>
      <c r="M116" s="123" t="s">
        <v>33</v>
      </c>
      <c r="N116" s="123" t="s">
        <v>33</v>
      </c>
      <c r="O116" s="123">
        <v>28</v>
      </c>
      <c r="P116" s="123">
        <v>1024</v>
      </c>
      <c r="Q116" s="123" t="s">
        <v>33</v>
      </c>
      <c r="R116" s="95" t="s">
        <v>33</v>
      </c>
      <c r="S116" s="18"/>
      <c r="T116" s="18"/>
      <c r="U116" s="18"/>
      <c r="V116" s="18"/>
      <c r="W116" s="18"/>
    </row>
    <row r="117" spans="1:23" x14ac:dyDescent="0.3">
      <c r="A117" s="153"/>
      <c r="B117" s="153"/>
      <c r="C117" s="153"/>
      <c r="D117" s="153"/>
      <c r="E117" s="120" t="s">
        <v>482</v>
      </c>
      <c r="F117" s="123"/>
      <c r="G117" s="123"/>
      <c r="H117" s="123" t="s">
        <v>30</v>
      </c>
      <c r="I117" s="123" t="s">
        <v>356</v>
      </c>
      <c r="J117" s="123"/>
      <c r="K117" s="123"/>
      <c r="L117" s="96" t="s">
        <v>560</v>
      </c>
      <c r="M117" s="123"/>
      <c r="N117" s="123"/>
      <c r="O117" s="123"/>
      <c r="P117" s="123"/>
      <c r="Q117" s="123"/>
      <c r="R117" s="95"/>
      <c r="S117" s="18"/>
      <c r="T117" s="18"/>
      <c r="U117" s="18"/>
      <c r="V117" s="18"/>
      <c r="W117" s="18"/>
    </row>
    <row r="118" spans="1:23" x14ac:dyDescent="0.3">
      <c r="A118" s="97" t="s">
        <v>531</v>
      </c>
      <c r="B118" s="97" t="s">
        <v>563</v>
      </c>
      <c r="C118" s="97" t="s">
        <v>419</v>
      </c>
      <c r="D118" s="123" t="s">
        <v>564</v>
      </c>
      <c r="E118" s="120" t="s">
        <v>565</v>
      </c>
      <c r="F118" s="123" t="s">
        <v>369</v>
      </c>
      <c r="G118" s="123" t="s">
        <v>33</v>
      </c>
      <c r="H118" s="123" t="s">
        <v>30</v>
      </c>
      <c r="I118" s="123" t="s">
        <v>356</v>
      </c>
      <c r="J118" s="123" t="s">
        <v>33</v>
      </c>
      <c r="K118" s="123" t="s">
        <v>33</v>
      </c>
      <c r="L118" s="96" t="s">
        <v>566</v>
      </c>
      <c r="M118" s="123" t="s">
        <v>33</v>
      </c>
      <c r="N118" s="123" t="s">
        <v>33</v>
      </c>
      <c r="O118" s="123">
        <v>28</v>
      </c>
      <c r="P118" s="123">
        <v>1024</v>
      </c>
      <c r="Q118" s="123" t="s">
        <v>33</v>
      </c>
      <c r="R118" s="123" t="s">
        <v>33</v>
      </c>
      <c r="S118" s="18"/>
      <c r="T118" s="18"/>
      <c r="U118" s="18"/>
      <c r="V118" s="18"/>
      <c r="W118" s="18"/>
    </row>
    <row r="119" spans="1:23" x14ac:dyDescent="0.3">
      <c r="A119" s="97" t="s">
        <v>567</v>
      </c>
      <c r="B119" s="97" t="s">
        <v>568</v>
      </c>
      <c r="C119" s="97" t="s">
        <v>569</v>
      </c>
      <c r="D119" s="123" t="s">
        <v>570</v>
      </c>
      <c r="E119" s="120" t="s">
        <v>571</v>
      </c>
      <c r="F119" s="123" t="s">
        <v>572</v>
      </c>
      <c r="G119" s="123"/>
      <c r="H119" s="123" t="s">
        <v>30</v>
      </c>
      <c r="I119" s="123" t="s">
        <v>356</v>
      </c>
      <c r="J119" s="123"/>
      <c r="K119" s="123"/>
      <c r="L119" s="96" t="s">
        <v>426</v>
      </c>
      <c r="M119" s="123"/>
      <c r="N119" s="123"/>
      <c r="O119" s="123"/>
      <c r="P119" s="123"/>
      <c r="Q119" s="123"/>
      <c r="R119" s="123"/>
      <c r="S119" s="18"/>
      <c r="T119" s="18"/>
      <c r="U119" s="18"/>
      <c r="V119" s="18"/>
      <c r="W119" s="18"/>
    </row>
    <row r="120" spans="1:23" x14ac:dyDescent="0.3">
      <c r="A120" s="97" t="s">
        <v>567</v>
      </c>
      <c r="B120" s="97" t="s">
        <v>573</v>
      </c>
      <c r="C120" s="97" t="s">
        <v>569</v>
      </c>
      <c r="D120" s="123" t="s">
        <v>574</v>
      </c>
      <c r="E120" s="120" t="s">
        <v>575</v>
      </c>
      <c r="F120" s="123" t="s">
        <v>572</v>
      </c>
      <c r="G120" s="123"/>
      <c r="H120" s="123" t="s">
        <v>30</v>
      </c>
      <c r="I120" s="123" t="s">
        <v>356</v>
      </c>
      <c r="J120" s="123"/>
      <c r="K120" s="123"/>
      <c r="L120" s="96" t="s">
        <v>426</v>
      </c>
      <c r="M120" s="123"/>
      <c r="N120" s="123"/>
      <c r="O120" s="123"/>
      <c r="P120" s="123"/>
      <c r="Q120" s="123"/>
      <c r="R120" s="123"/>
      <c r="S120" s="18"/>
      <c r="T120" s="18"/>
      <c r="U120" s="18"/>
      <c r="V120" s="18"/>
      <c r="W120" s="18"/>
    </row>
    <row r="121" spans="1:23" x14ac:dyDescent="0.3">
      <c r="A121" s="97" t="s">
        <v>549</v>
      </c>
      <c r="B121" s="97" t="s">
        <v>427</v>
      </c>
      <c r="C121" s="97" t="s">
        <v>569</v>
      </c>
      <c r="D121" s="123" t="s">
        <v>576</v>
      </c>
      <c r="E121" s="120" t="s">
        <v>577</v>
      </c>
      <c r="F121" s="123" t="s">
        <v>572</v>
      </c>
      <c r="G121" s="123"/>
      <c r="H121" s="123" t="s">
        <v>30</v>
      </c>
      <c r="I121" s="123" t="s">
        <v>356</v>
      </c>
      <c r="J121" s="123"/>
      <c r="K121" s="123"/>
      <c r="L121" s="96" t="s">
        <v>426</v>
      </c>
      <c r="M121" s="123"/>
      <c r="N121" s="123"/>
      <c r="O121" s="123"/>
      <c r="P121" s="123"/>
      <c r="Q121" s="123"/>
      <c r="R121" s="123"/>
      <c r="S121" s="18"/>
      <c r="T121" s="18"/>
      <c r="U121" s="18"/>
      <c r="V121" s="18"/>
      <c r="W121" s="18"/>
    </row>
    <row r="122" spans="1:23" x14ac:dyDescent="0.3">
      <c r="A122" s="97" t="s">
        <v>549</v>
      </c>
      <c r="B122" s="97" t="s">
        <v>432</v>
      </c>
      <c r="C122" s="97" t="s">
        <v>569</v>
      </c>
      <c r="D122" s="123" t="s">
        <v>578</v>
      </c>
      <c r="E122" s="120" t="s">
        <v>579</v>
      </c>
      <c r="F122" s="123" t="s">
        <v>572</v>
      </c>
      <c r="G122" s="123"/>
      <c r="H122" s="123" t="s">
        <v>30</v>
      </c>
      <c r="I122" s="123" t="s">
        <v>356</v>
      </c>
      <c r="J122" s="123"/>
      <c r="K122" s="123"/>
      <c r="L122" s="96" t="s">
        <v>426</v>
      </c>
      <c r="M122" s="123"/>
      <c r="N122" s="123"/>
      <c r="O122" s="123"/>
      <c r="P122" s="123"/>
      <c r="Q122" s="123"/>
      <c r="R122" s="123"/>
      <c r="S122" s="18"/>
      <c r="T122" s="18"/>
      <c r="U122" s="18"/>
      <c r="V122" s="18"/>
      <c r="W122" s="18"/>
    </row>
    <row r="123" spans="1:23" x14ac:dyDescent="0.3">
      <c r="A123" s="152" t="s">
        <v>372</v>
      </c>
      <c r="B123" s="152" t="s">
        <v>580</v>
      </c>
      <c r="C123" s="152" t="s">
        <v>581</v>
      </c>
      <c r="D123" s="152" t="s">
        <v>582</v>
      </c>
      <c r="E123" s="120" t="s">
        <v>583</v>
      </c>
      <c r="F123" s="123" t="s">
        <v>33</v>
      </c>
      <c r="G123" s="123" t="s">
        <v>33</v>
      </c>
      <c r="H123" s="123"/>
      <c r="I123" s="123"/>
      <c r="J123" s="123" t="s">
        <v>33</v>
      </c>
      <c r="K123" s="123" t="s">
        <v>33</v>
      </c>
      <c r="L123" s="123"/>
      <c r="M123" s="123" t="s">
        <v>33</v>
      </c>
      <c r="N123" s="123" t="s">
        <v>33</v>
      </c>
      <c r="O123" s="123" t="s">
        <v>33</v>
      </c>
      <c r="P123" s="123" t="s">
        <v>33</v>
      </c>
      <c r="Q123" s="123" t="s">
        <v>33</v>
      </c>
      <c r="R123" s="123" t="s">
        <v>33</v>
      </c>
      <c r="S123" s="18"/>
      <c r="T123" s="18"/>
      <c r="U123" s="18"/>
      <c r="V123" s="18"/>
      <c r="W123" s="18"/>
    </row>
    <row r="124" spans="1:23" x14ac:dyDescent="0.3">
      <c r="A124" s="154"/>
      <c r="B124" s="154"/>
      <c r="C124" s="154"/>
      <c r="D124" s="154"/>
      <c r="E124" s="120" t="s">
        <v>584</v>
      </c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8"/>
      <c r="T124" s="18"/>
      <c r="U124" s="18"/>
      <c r="V124" s="18"/>
      <c r="W124" s="18"/>
    </row>
    <row r="125" spans="1:23" x14ac:dyDescent="0.3">
      <c r="A125" s="154"/>
      <c r="B125" s="154"/>
      <c r="C125" s="154"/>
      <c r="D125" s="154"/>
      <c r="E125" s="120" t="s">
        <v>585</v>
      </c>
      <c r="F125" s="123"/>
      <c r="G125" s="123"/>
      <c r="H125" s="123" t="s">
        <v>30</v>
      </c>
      <c r="I125" s="123" t="s">
        <v>356</v>
      </c>
      <c r="J125" s="123"/>
      <c r="K125" s="123"/>
      <c r="L125" s="123" t="s">
        <v>586</v>
      </c>
      <c r="M125" s="123"/>
      <c r="N125" s="123"/>
      <c r="O125" s="123"/>
      <c r="P125" s="123"/>
      <c r="Q125" s="123"/>
      <c r="R125" s="123"/>
      <c r="S125" s="18"/>
      <c r="T125" s="18"/>
      <c r="U125" s="18"/>
      <c r="V125" s="18"/>
      <c r="W125" s="18"/>
    </row>
    <row r="126" spans="1:23" x14ac:dyDescent="0.3">
      <c r="A126" s="154"/>
      <c r="B126" s="154"/>
      <c r="C126" s="154"/>
      <c r="D126" s="154"/>
      <c r="E126" s="120" t="s">
        <v>587</v>
      </c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8"/>
      <c r="T126" s="18"/>
      <c r="U126" s="18"/>
      <c r="V126" s="18"/>
      <c r="W126" s="18"/>
    </row>
    <row r="127" spans="1:23" x14ac:dyDescent="0.3">
      <c r="A127" s="153"/>
      <c r="B127" s="153"/>
      <c r="C127" s="153"/>
      <c r="D127" s="153"/>
      <c r="E127" s="120" t="s">
        <v>588</v>
      </c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8"/>
      <c r="T127" s="18"/>
      <c r="U127" s="18"/>
      <c r="V127" s="18"/>
      <c r="W127" s="18"/>
    </row>
    <row r="128" spans="1:23" x14ac:dyDescent="0.3">
      <c r="A128" s="152" t="s">
        <v>379</v>
      </c>
      <c r="B128" s="152" t="s">
        <v>580</v>
      </c>
      <c r="C128" s="152" t="s">
        <v>581</v>
      </c>
      <c r="D128" s="152" t="s">
        <v>589</v>
      </c>
      <c r="E128" s="120" t="s">
        <v>590</v>
      </c>
      <c r="F128" s="123" t="s">
        <v>33</v>
      </c>
      <c r="G128" s="123" t="s">
        <v>33</v>
      </c>
      <c r="H128" s="123" t="s">
        <v>30</v>
      </c>
      <c r="I128" s="123" t="s">
        <v>356</v>
      </c>
      <c r="J128" s="123" t="s">
        <v>33</v>
      </c>
      <c r="K128" s="123" t="s">
        <v>33</v>
      </c>
      <c r="L128" s="123" t="s">
        <v>586</v>
      </c>
      <c r="M128" s="123" t="s">
        <v>33</v>
      </c>
      <c r="N128" s="123" t="s">
        <v>33</v>
      </c>
      <c r="O128" s="123" t="s">
        <v>33</v>
      </c>
      <c r="P128" s="123" t="s">
        <v>33</v>
      </c>
      <c r="Q128" s="123" t="s">
        <v>33</v>
      </c>
      <c r="R128" s="123" t="s">
        <v>33</v>
      </c>
      <c r="S128" s="18"/>
      <c r="T128" s="18"/>
      <c r="U128" s="18"/>
      <c r="V128" s="18"/>
      <c r="W128" s="18"/>
    </row>
    <row r="129" spans="1:23" x14ac:dyDescent="0.3">
      <c r="A129" s="154"/>
      <c r="B129" s="154"/>
      <c r="C129" s="154"/>
      <c r="D129" s="154"/>
      <c r="E129" s="120" t="s">
        <v>591</v>
      </c>
      <c r="F129" s="123"/>
      <c r="G129" s="123"/>
      <c r="H129" s="123"/>
      <c r="I129" s="123"/>
      <c r="J129" s="123"/>
      <c r="K129" s="123"/>
      <c r="L129" s="123" t="s">
        <v>586</v>
      </c>
      <c r="M129" s="123"/>
      <c r="N129" s="123"/>
      <c r="O129" s="123"/>
      <c r="P129" s="123"/>
      <c r="Q129" s="123"/>
      <c r="R129" s="123"/>
      <c r="S129" s="18"/>
      <c r="T129" s="18"/>
      <c r="U129" s="18"/>
      <c r="V129" s="18"/>
      <c r="W129" s="18"/>
    </row>
    <row r="130" spans="1:23" x14ac:dyDescent="0.3">
      <c r="A130" s="154"/>
      <c r="B130" s="154"/>
      <c r="C130" s="154"/>
      <c r="D130" s="154"/>
      <c r="E130" s="120" t="s">
        <v>592</v>
      </c>
      <c r="F130" s="123"/>
      <c r="G130" s="123"/>
      <c r="H130" s="123"/>
      <c r="I130" s="123"/>
      <c r="J130" s="123"/>
      <c r="K130" s="123"/>
      <c r="L130" s="123" t="s">
        <v>586</v>
      </c>
      <c r="M130" s="123"/>
      <c r="N130" s="123"/>
      <c r="O130" s="123"/>
      <c r="P130" s="123"/>
      <c r="Q130" s="123"/>
      <c r="R130" s="123"/>
      <c r="S130" s="18"/>
      <c r="T130" s="18"/>
      <c r="U130" s="18"/>
      <c r="V130" s="18"/>
      <c r="W130" s="18"/>
    </row>
    <row r="131" spans="1:23" x14ac:dyDescent="0.3">
      <c r="A131" s="153"/>
      <c r="B131" s="153"/>
      <c r="C131" s="153"/>
      <c r="D131" s="153"/>
      <c r="E131" s="120" t="s">
        <v>593</v>
      </c>
      <c r="F131" s="123"/>
      <c r="G131" s="123"/>
      <c r="H131" s="123"/>
      <c r="I131" s="123"/>
      <c r="J131" s="123"/>
      <c r="K131" s="123"/>
      <c r="L131" s="123" t="s">
        <v>586</v>
      </c>
      <c r="M131" s="123"/>
      <c r="N131" s="123"/>
      <c r="O131" s="123"/>
      <c r="P131" s="123"/>
      <c r="Q131" s="123"/>
      <c r="R131" s="123"/>
      <c r="S131" s="18"/>
      <c r="T131" s="18"/>
      <c r="U131" s="18"/>
      <c r="V131" s="18"/>
      <c r="W131" s="18"/>
    </row>
    <row r="132" spans="1:23" x14ac:dyDescent="0.3">
      <c r="A132" s="152" t="s">
        <v>348</v>
      </c>
      <c r="B132" s="152" t="s">
        <v>594</v>
      </c>
      <c r="C132" s="152" t="s">
        <v>595</v>
      </c>
      <c r="D132" s="152" t="s">
        <v>596</v>
      </c>
      <c r="E132" s="120" t="s">
        <v>597</v>
      </c>
      <c r="F132" s="123" t="s">
        <v>33</v>
      </c>
      <c r="G132" s="123" t="s">
        <v>33</v>
      </c>
      <c r="H132" s="123" t="s">
        <v>30</v>
      </c>
      <c r="I132" s="123" t="s">
        <v>356</v>
      </c>
      <c r="J132" s="123" t="s">
        <v>33</v>
      </c>
      <c r="K132" s="123" t="s">
        <v>33</v>
      </c>
      <c r="L132" s="123" t="s">
        <v>598</v>
      </c>
      <c r="M132" s="123" t="s">
        <v>33</v>
      </c>
      <c r="N132" s="123" t="s">
        <v>33</v>
      </c>
      <c r="O132" s="123" t="s">
        <v>33</v>
      </c>
      <c r="P132" s="126"/>
      <c r="Q132" s="123" t="s">
        <v>33</v>
      </c>
      <c r="R132" s="123" t="s">
        <v>33</v>
      </c>
      <c r="S132" s="18"/>
      <c r="T132" s="18"/>
      <c r="U132" s="18"/>
      <c r="V132" s="18"/>
      <c r="W132" s="18"/>
    </row>
    <row r="133" spans="1:23" x14ac:dyDescent="0.3">
      <c r="A133" s="154"/>
      <c r="B133" s="154"/>
      <c r="C133" s="154"/>
      <c r="D133" s="154"/>
      <c r="E133" s="120" t="s">
        <v>599</v>
      </c>
      <c r="F133" s="123"/>
      <c r="G133" s="123"/>
      <c r="H133" s="123" t="s">
        <v>30</v>
      </c>
      <c r="I133" s="123" t="s">
        <v>600</v>
      </c>
      <c r="J133" s="123"/>
      <c r="K133" s="123"/>
      <c r="L133" s="123" t="s">
        <v>601</v>
      </c>
      <c r="M133" s="123"/>
      <c r="N133" s="123"/>
      <c r="O133" s="123"/>
      <c r="P133" s="126"/>
      <c r="Q133" s="123"/>
      <c r="R133" s="123"/>
      <c r="S133" s="18"/>
      <c r="T133" s="18"/>
      <c r="U133" s="18"/>
      <c r="V133" s="18"/>
      <c r="W133" s="18"/>
    </row>
    <row r="134" spans="1:23" x14ac:dyDescent="0.3">
      <c r="A134" s="153"/>
      <c r="B134" s="153"/>
      <c r="C134" s="153"/>
      <c r="D134" s="153"/>
      <c r="E134" s="120" t="s">
        <v>602</v>
      </c>
      <c r="F134" s="123"/>
      <c r="G134" s="123"/>
      <c r="H134" s="123" t="s">
        <v>30</v>
      </c>
      <c r="I134" s="123" t="s">
        <v>600</v>
      </c>
      <c r="J134" s="123"/>
      <c r="K134" s="123"/>
      <c r="L134" s="123" t="s">
        <v>601</v>
      </c>
      <c r="M134" s="123"/>
      <c r="N134" s="123"/>
      <c r="O134" s="123"/>
      <c r="P134" s="126"/>
      <c r="Q134" s="123"/>
      <c r="R134" s="123"/>
      <c r="S134" s="18"/>
      <c r="T134" s="18"/>
      <c r="U134" s="18"/>
      <c r="V134" s="18"/>
      <c r="W134" s="18"/>
    </row>
    <row r="135" spans="1:23" x14ac:dyDescent="0.3">
      <c r="A135" s="152" t="s">
        <v>394</v>
      </c>
      <c r="B135" s="152" t="s">
        <v>594</v>
      </c>
      <c r="C135" s="152" t="s">
        <v>595</v>
      </c>
      <c r="D135" s="152" t="s">
        <v>603</v>
      </c>
      <c r="E135" s="120" t="s">
        <v>604</v>
      </c>
      <c r="F135" s="123" t="s">
        <v>33</v>
      </c>
      <c r="G135" s="123" t="s">
        <v>33</v>
      </c>
      <c r="H135" s="123" t="s">
        <v>30</v>
      </c>
      <c r="I135" s="123" t="s">
        <v>356</v>
      </c>
      <c r="J135" s="123" t="s">
        <v>33</v>
      </c>
      <c r="K135" s="123" t="s">
        <v>33</v>
      </c>
      <c r="L135" s="123" t="s">
        <v>598</v>
      </c>
      <c r="M135" s="123" t="s">
        <v>33</v>
      </c>
      <c r="N135" s="123" t="s">
        <v>33</v>
      </c>
      <c r="O135" s="123" t="s">
        <v>33</v>
      </c>
      <c r="P135" s="126"/>
      <c r="Q135" s="123" t="s">
        <v>33</v>
      </c>
      <c r="R135" s="123" t="s">
        <v>33</v>
      </c>
      <c r="S135" s="18"/>
      <c r="T135" s="18"/>
      <c r="U135" s="18"/>
      <c r="V135" s="18"/>
      <c r="W135" s="18"/>
    </row>
    <row r="136" spans="1:23" x14ac:dyDescent="0.3">
      <c r="A136" s="154"/>
      <c r="B136" s="154"/>
      <c r="C136" s="154"/>
      <c r="D136" s="154"/>
      <c r="E136" s="120" t="s">
        <v>605</v>
      </c>
      <c r="F136" s="123"/>
      <c r="G136" s="123"/>
      <c r="H136" s="123" t="s">
        <v>30</v>
      </c>
      <c r="I136" s="123" t="s">
        <v>600</v>
      </c>
      <c r="J136" s="123"/>
      <c r="K136" s="123"/>
      <c r="L136" s="123" t="s">
        <v>601</v>
      </c>
      <c r="M136" s="123"/>
      <c r="N136" s="123"/>
      <c r="O136" s="123"/>
      <c r="P136" s="126"/>
      <c r="Q136" s="123"/>
      <c r="R136" s="123"/>
      <c r="S136" s="18"/>
      <c r="T136" s="18"/>
      <c r="U136" s="18"/>
      <c r="V136" s="18"/>
      <c r="W136" s="18"/>
    </row>
    <row r="137" spans="1:23" x14ac:dyDescent="0.3">
      <c r="A137" s="153"/>
      <c r="B137" s="153"/>
      <c r="C137" s="153"/>
      <c r="D137" s="153"/>
      <c r="E137" s="120" t="s">
        <v>606</v>
      </c>
      <c r="F137" s="123"/>
      <c r="G137" s="123"/>
      <c r="H137" s="123" t="s">
        <v>30</v>
      </c>
      <c r="I137" s="123" t="s">
        <v>600</v>
      </c>
      <c r="J137" s="123"/>
      <c r="K137" s="123"/>
      <c r="L137" s="123" t="s">
        <v>601</v>
      </c>
      <c r="M137" s="123"/>
      <c r="N137" s="123"/>
      <c r="O137" s="123"/>
      <c r="P137" s="126"/>
      <c r="Q137" s="123"/>
      <c r="R137" s="123"/>
      <c r="S137" s="18"/>
      <c r="T137" s="18"/>
      <c r="U137" s="18"/>
      <c r="V137" s="18"/>
      <c r="W137" s="18"/>
    </row>
    <row r="138" spans="1:23" x14ac:dyDescent="0.3">
      <c r="A138" s="97" t="s">
        <v>379</v>
      </c>
      <c r="B138" s="97" t="s">
        <v>607</v>
      </c>
      <c r="C138" s="97" t="s">
        <v>608</v>
      </c>
      <c r="D138" s="123" t="s">
        <v>609</v>
      </c>
      <c r="E138" s="95" t="s">
        <v>610</v>
      </c>
      <c r="F138" s="123" t="s">
        <v>33</v>
      </c>
      <c r="G138" s="123" t="s">
        <v>33</v>
      </c>
      <c r="H138" s="123" t="s">
        <v>30</v>
      </c>
      <c r="I138" s="123" t="s">
        <v>356</v>
      </c>
      <c r="J138" s="123" t="s">
        <v>33</v>
      </c>
      <c r="K138" s="123" t="s">
        <v>33</v>
      </c>
      <c r="L138" s="123" t="s">
        <v>611</v>
      </c>
      <c r="M138" s="123" t="s">
        <v>33</v>
      </c>
      <c r="N138" s="123" t="s">
        <v>33</v>
      </c>
      <c r="O138" s="123" t="s">
        <v>33</v>
      </c>
      <c r="P138" s="123"/>
      <c r="Q138" s="123" t="s">
        <v>33</v>
      </c>
      <c r="R138" s="123" t="s">
        <v>33</v>
      </c>
      <c r="S138" s="18"/>
      <c r="T138" s="18"/>
      <c r="U138" s="18"/>
      <c r="V138" s="18"/>
      <c r="W138" s="18"/>
    </row>
    <row r="139" spans="1:23" x14ac:dyDescent="0.3">
      <c r="A139" s="97" t="s">
        <v>372</v>
      </c>
      <c r="B139" s="97" t="s">
        <v>607</v>
      </c>
      <c r="C139" s="97" t="s">
        <v>608</v>
      </c>
      <c r="D139" s="123" t="s">
        <v>612</v>
      </c>
      <c r="E139" s="95" t="s">
        <v>613</v>
      </c>
      <c r="F139" s="123" t="s">
        <v>33</v>
      </c>
      <c r="G139" s="123" t="s">
        <v>33</v>
      </c>
      <c r="H139" s="123" t="s">
        <v>30</v>
      </c>
      <c r="I139" s="123" t="s">
        <v>356</v>
      </c>
      <c r="J139" s="123" t="s">
        <v>33</v>
      </c>
      <c r="K139" s="123" t="s">
        <v>33</v>
      </c>
      <c r="L139" s="123" t="s">
        <v>611</v>
      </c>
      <c r="M139" s="123" t="s">
        <v>33</v>
      </c>
      <c r="N139" s="123" t="s">
        <v>33</v>
      </c>
      <c r="O139" s="123" t="s">
        <v>33</v>
      </c>
      <c r="P139" s="123"/>
      <c r="Q139" s="123" t="s">
        <v>33</v>
      </c>
      <c r="R139" s="123" t="s">
        <v>33</v>
      </c>
      <c r="S139" s="18"/>
      <c r="T139" s="18"/>
      <c r="U139" s="18"/>
      <c r="V139" s="18"/>
      <c r="W139" s="18"/>
    </row>
    <row r="140" spans="1:23" x14ac:dyDescent="0.3">
      <c r="A140" s="97" t="s">
        <v>448</v>
      </c>
      <c r="B140" s="97" t="s">
        <v>614</v>
      </c>
      <c r="C140" s="97" t="s">
        <v>615</v>
      </c>
      <c r="D140" s="123" t="s">
        <v>616</v>
      </c>
      <c r="E140" s="95" t="s">
        <v>617</v>
      </c>
      <c r="F140" s="123"/>
      <c r="G140" s="123"/>
      <c r="H140" s="123" t="s">
        <v>30</v>
      </c>
      <c r="I140" s="123" t="s">
        <v>356</v>
      </c>
      <c r="J140" s="123"/>
      <c r="K140" s="123"/>
      <c r="L140" s="123" t="s">
        <v>611</v>
      </c>
      <c r="M140" s="123"/>
      <c r="N140" s="123"/>
      <c r="O140" s="123"/>
      <c r="P140" s="123"/>
      <c r="Q140" s="123"/>
      <c r="R140" s="123"/>
      <c r="S140" s="18"/>
      <c r="T140" s="18"/>
      <c r="U140" s="18"/>
      <c r="V140" s="18"/>
      <c r="W140" s="18"/>
    </row>
    <row r="141" spans="1:23" x14ac:dyDescent="0.3">
      <c r="A141" s="97" t="s">
        <v>467</v>
      </c>
      <c r="B141" s="97" t="s">
        <v>614</v>
      </c>
      <c r="C141" s="97" t="s">
        <v>615</v>
      </c>
      <c r="D141" s="123" t="s">
        <v>618</v>
      </c>
      <c r="E141" s="95" t="s">
        <v>619</v>
      </c>
      <c r="F141" s="123"/>
      <c r="G141" s="123"/>
      <c r="H141" s="123" t="s">
        <v>30</v>
      </c>
      <c r="I141" s="123" t="s">
        <v>356</v>
      </c>
      <c r="J141" s="123"/>
      <c r="K141" s="123"/>
      <c r="L141" s="123" t="s">
        <v>611</v>
      </c>
      <c r="M141" s="123"/>
      <c r="N141" s="123"/>
      <c r="O141" s="123"/>
      <c r="P141" s="123"/>
      <c r="Q141" s="123"/>
      <c r="R141" s="123"/>
      <c r="S141" s="18"/>
      <c r="T141" s="18"/>
      <c r="U141" s="18"/>
      <c r="V141" s="18"/>
      <c r="W141" s="18"/>
    </row>
    <row r="142" spans="1:23" x14ac:dyDescent="0.3">
      <c r="A142" s="97" t="s">
        <v>486</v>
      </c>
      <c r="B142" s="97" t="s">
        <v>614</v>
      </c>
      <c r="C142" s="97" t="s">
        <v>615</v>
      </c>
      <c r="D142" s="123" t="s">
        <v>620</v>
      </c>
      <c r="E142" s="95" t="s">
        <v>621</v>
      </c>
      <c r="F142" s="123"/>
      <c r="G142" s="123"/>
      <c r="H142" s="123" t="s">
        <v>30</v>
      </c>
      <c r="I142" s="123" t="s">
        <v>356</v>
      </c>
      <c r="J142" s="123"/>
      <c r="K142" s="123"/>
      <c r="L142" s="123" t="s">
        <v>611</v>
      </c>
      <c r="M142" s="123"/>
      <c r="N142" s="123"/>
      <c r="O142" s="123"/>
      <c r="P142" s="123"/>
      <c r="Q142" s="123"/>
      <c r="R142" s="123"/>
      <c r="S142" s="18"/>
      <c r="T142" s="18"/>
      <c r="U142" s="18"/>
      <c r="V142" s="18"/>
      <c r="W142" s="18"/>
    </row>
    <row r="143" spans="1:23" x14ac:dyDescent="0.3">
      <c r="A143" s="97" t="s">
        <v>509</v>
      </c>
      <c r="B143" s="97" t="s">
        <v>614</v>
      </c>
      <c r="C143" s="97" t="s">
        <v>615</v>
      </c>
      <c r="D143" s="123" t="s">
        <v>622</v>
      </c>
      <c r="E143" s="95" t="s">
        <v>623</v>
      </c>
      <c r="F143" s="123"/>
      <c r="G143" s="123"/>
      <c r="H143" s="123" t="s">
        <v>30</v>
      </c>
      <c r="I143" s="123" t="s">
        <v>356</v>
      </c>
      <c r="J143" s="123"/>
      <c r="K143" s="123"/>
      <c r="L143" s="123" t="s">
        <v>624</v>
      </c>
      <c r="M143" s="123"/>
      <c r="N143" s="123"/>
      <c r="O143" s="123"/>
      <c r="P143" s="123"/>
      <c r="Q143" s="123"/>
      <c r="R143" s="123"/>
      <c r="S143" s="18"/>
      <c r="T143" s="18"/>
      <c r="U143" s="18"/>
      <c r="V143" s="18"/>
      <c r="W143" s="18"/>
    </row>
    <row r="144" spans="1:23" x14ac:dyDescent="0.3">
      <c r="A144" s="152" t="s">
        <v>417</v>
      </c>
      <c r="B144" s="152" t="s">
        <v>568</v>
      </c>
      <c r="C144" s="152" t="s">
        <v>581</v>
      </c>
      <c r="D144" s="152" t="s">
        <v>625</v>
      </c>
      <c r="E144" s="120" t="s">
        <v>626</v>
      </c>
      <c r="F144" s="123"/>
      <c r="G144" s="123"/>
      <c r="H144" s="123" t="s">
        <v>30</v>
      </c>
      <c r="I144" s="123" t="s">
        <v>356</v>
      </c>
      <c r="J144" s="123"/>
      <c r="K144" s="123"/>
      <c r="L144" s="123" t="s">
        <v>586</v>
      </c>
      <c r="M144" s="123"/>
      <c r="N144" s="123"/>
      <c r="O144" s="123"/>
      <c r="P144" s="123"/>
      <c r="Q144" s="123"/>
      <c r="R144" s="123"/>
      <c r="S144" s="18"/>
      <c r="T144" s="18"/>
      <c r="U144" s="18"/>
      <c r="V144" s="18"/>
      <c r="W144" s="18"/>
    </row>
    <row r="145" spans="1:23" x14ac:dyDescent="0.3">
      <c r="A145" s="154"/>
      <c r="B145" s="154"/>
      <c r="C145" s="154"/>
      <c r="D145" s="154"/>
      <c r="E145" s="120" t="s">
        <v>627</v>
      </c>
      <c r="F145" s="123"/>
      <c r="G145" s="123"/>
      <c r="H145" s="123" t="s">
        <v>30</v>
      </c>
      <c r="I145" s="123" t="s">
        <v>356</v>
      </c>
      <c r="J145" s="123"/>
      <c r="K145" s="123"/>
      <c r="L145" s="123"/>
      <c r="M145" s="123"/>
      <c r="N145" s="123"/>
      <c r="O145" s="123"/>
      <c r="P145" s="123"/>
      <c r="Q145" s="123"/>
      <c r="R145" s="123"/>
      <c r="S145" s="18"/>
      <c r="T145" s="18"/>
      <c r="U145" s="18"/>
      <c r="V145" s="18"/>
      <c r="W145" s="18"/>
    </row>
    <row r="146" spans="1:23" x14ac:dyDescent="0.3">
      <c r="A146" s="154"/>
      <c r="B146" s="154"/>
      <c r="C146" s="154"/>
      <c r="D146" s="154"/>
      <c r="E146" s="120" t="s">
        <v>628</v>
      </c>
      <c r="F146" s="123"/>
      <c r="G146" s="123"/>
      <c r="H146" s="123" t="s">
        <v>30</v>
      </c>
      <c r="I146" s="123" t="s">
        <v>356</v>
      </c>
      <c r="J146" s="123"/>
      <c r="K146" s="123"/>
      <c r="L146" s="123"/>
      <c r="M146" s="123"/>
      <c r="N146" s="123"/>
      <c r="O146" s="123"/>
      <c r="P146" s="123"/>
      <c r="Q146" s="123"/>
      <c r="R146" s="123"/>
      <c r="S146" s="18"/>
      <c r="T146" s="18"/>
      <c r="U146" s="18"/>
      <c r="V146" s="18"/>
      <c r="W146" s="18"/>
    </row>
    <row r="147" spans="1:23" x14ac:dyDescent="0.3">
      <c r="A147" s="154"/>
      <c r="B147" s="154"/>
      <c r="C147" s="154"/>
      <c r="D147" s="154"/>
      <c r="E147" s="120" t="s">
        <v>629</v>
      </c>
      <c r="F147" s="123"/>
      <c r="G147" s="123"/>
      <c r="H147" s="123" t="s">
        <v>30</v>
      </c>
      <c r="I147" s="123" t="s">
        <v>356</v>
      </c>
      <c r="J147" s="123"/>
      <c r="K147" s="123"/>
      <c r="L147" s="123"/>
      <c r="M147" s="123"/>
      <c r="N147" s="123"/>
      <c r="O147" s="123"/>
      <c r="P147" s="123"/>
      <c r="Q147" s="123"/>
      <c r="R147" s="123"/>
      <c r="S147" s="18"/>
      <c r="T147" s="18"/>
      <c r="U147" s="18"/>
      <c r="V147" s="18"/>
      <c r="W147" s="18"/>
    </row>
    <row r="148" spans="1:23" x14ac:dyDescent="0.3">
      <c r="A148" s="153"/>
      <c r="B148" s="153"/>
      <c r="C148" s="153"/>
      <c r="D148" s="153"/>
      <c r="E148" s="120" t="s">
        <v>630</v>
      </c>
      <c r="F148" s="123"/>
      <c r="G148" s="123"/>
      <c r="H148" s="123" t="s">
        <v>30</v>
      </c>
      <c r="I148" s="123" t="s">
        <v>356</v>
      </c>
      <c r="J148" s="123"/>
      <c r="K148" s="123"/>
      <c r="L148" s="123"/>
      <c r="M148" s="123"/>
      <c r="N148" s="123"/>
      <c r="O148" s="123"/>
      <c r="P148" s="123"/>
      <c r="Q148" s="123"/>
      <c r="R148" s="123"/>
      <c r="S148" s="18"/>
      <c r="T148" s="18"/>
      <c r="U148" s="18"/>
      <c r="V148" s="18"/>
      <c r="W148" s="18"/>
    </row>
    <row r="149" spans="1:23" x14ac:dyDescent="0.3">
      <c r="A149" s="152" t="s">
        <v>417</v>
      </c>
      <c r="B149" s="152" t="s">
        <v>631</v>
      </c>
      <c r="C149" s="152" t="s">
        <v>632</v>
      </c>
      <c r="D149" s="152" t="s">
        <v>633</v>
      </c>
      <c r="E149" s="120" t="s">
        <v>634</v>
      </c>
      <c r="F149" s="123" t="s">
        <v>33</v>
      </c>
      <c r="G149" s="123" t="s">
        <v>33</v>
      </c>
      <c r="H149" s="123" t="s">
        <v>30</v>
      </c>
      <c r="I149" s="123" t="s">
        <v>356</v>
      </c>
      <c r="J149" s="123" t="s">
        <v>33</v>
      </c>
      <c r="K149" s="123" t="s">
        <v>33</v>
      </c>
      <c r="L149" s="123" t="s">
        <v>586</v>
      </c>
      <c r="M149" s="123" t="s">
        <v>33</v>
      </c>
      <c r="N149" s="123" t="s">
        <v>33</v>
      </c>
      <c r="O149" s="123" t="s">
        <v>33</v>
      </c>
      <c r="P149" s="123" t="s">
        <v>33</v>
      </c>
      <c r="Q149" s="123" t="s">
        <v>33</v>
      </c>
      <c r="R149" s="123" t="s">
        <v>33</v>
      </c>
      <c r="S149" s="18"/>
      <c r="T149" s="18"/>
      <c r="U149" s="18"/>
      <c r="V149" s="18"/>
      <c r="W149" s="18"/>
    </row>
    <row r="150" spans="1:23" x14ac:dyDescent="0.3">
      <c r="A150" s="154"/>
      <c r="B150" s="154"/>
      <c r="C150" s="154"/>
      <c r="D150" s="154"/>
      <c r="E150" s="120" t="s">
        <v>635</v>
      </c>
      <c r="F150" s="123"/>
      <c r="G150" s="123"/>
      <c r="H150" s="123" t="s">
        <v>30</v>
      </c>
      <c r="I150" s="123" t="s">
        <v>356</v>
      </c>
      <c r="J150" s="123"/>
      <c r="K150" s="123"/>
      <c r="L150" s="123"/>
      <c r="M150" s="123"/>
      <c r="N150" s="123"/>
      <c r="O150" s="123"/>
      <c r="P150" s="123"/>
      <c r="Q150" s="123"/>
      <c r="R150" s="123"/>
      <c r="S150" s="18"/>
      <c r="T150" s="18"/>
      <c r="U150" s="18"/>
      <c r="V150" s="18"/>
      <c r="W150" s="18"/>
    </row>
    <row r="151" spans="1:23" x14ac:dyDescent="0.3">
      <c r="A151" s="154"/>
      <c r="B151" s="154"/>
      <c r="C151" s="154"/>
      <c r="D151" s="154"/>
      <c r="E151" s="120" t="s">
        <v>636</v>
      </c>
      <c r="F151" s="123"/>
      <c r="G151" s="123"/>
      <c r="H151" s="123" t="s">
        <v>30</v>
      </c>
      <c r="I151" s="123" t="s">
        <v>356</v>
      </c>
      <c r="J151" s="123"/>
      <c r="K151" s="123"/>
      <c r="L151" s="123"/>
      <c r="M151" s="123"/>
      <c r="N151" s="123"/>
      <c r="O151" s="123"/>
      <c r="P151" s="123"/>
      <c r="Q151" s="123"/>
      <c r="R151" s="123"/>
      <c r="S151" s="18"/>
      <c r="T151" s="18"/>
      <c r="U151" s="18"/>
      <c r="V151" s="18"/>
      <c r="W151" s="18"/>
    </row>
    <row r="152" spans="1:23" x14ac:dyDescent="0.3">
      <c r="A152" s="154"/>
      <c r="B152" s="154"/>
      <c r="C152" s="154"/>
      <c r="D152" s="154"/>
      <c r="E152" s="120" t="s">
        <v>637</v>
      </c>
      <c r="F152" s="123"/>
      <c r="G152" s="123"/>
      <c r="H152" s="123" t="s">
        <v>30</v>
      </c>
      <c r="I152" s="123" t="s">
        <v>356</v>
      </c>
      <c r="J152" s="123"/>
      <c r="K152" s="123"/>
      <c r="L152" s="123"/>
      <c r="M152" s="123"/>
      <c r="N152" s="123"/>
      <c r="O152" s="123"/>
      <c r="P152" s="123"/>
      <c r="Q152" s="123"/>
      <c r="R152" s="123"/>
      <c r="S152" s="18"/>
      <c r="T152" s="18"/>
      <c r="U152" s="18"/>
      <c r="V152" s="18"/>
      <c r="W152" s="18"/>
    </row>
    <row r="153" spans="1:23" x14ac:dyDescent="0.3">
      <c r="A153" s="153"/>
      <c r="B153" s="153"/>
      <c r="C153" s="153"/>
      <c r="D153" s="153"/>
      <c r="E153" s="120" t="s">
        <v>638</v>
      </c>
      <c r="F153" s="123"/>
      <c r="G153" s="123"/>
      <c r="H153" s="123" t="s">
        <v>30</v>
      </c>
      <c r="I153" s="123" t="s">
        <v>356</v>
      </c>
      <c r="J153" s="123"/>
      <c r="K153" s="123"/>
      <c r="L153" s="123"/>
      <c r="M153" s="123"/>
      <c r="N153" s="123"/>
      <c r="O153" s="123"/>
      <c r="P153" s="123"/>
      <c r="Q153" s="123"/>
      <c r="R153" s="123"/>
      <c r="S153" s="18"/>
      <c r="T153" s="18"/>
      <c r="U153" s="18"/>
      <c r="V153" s="18"/>
      <c r="W153" s="18"/>
    </row>
    <row r="154" spans="1:23" x14ac:dyDescent="0.3">
      <c r="A154" s="152" t="s">
        <v>448</v>
      </c>
      <c r="B154" s="152" t="s">
        <v>639</v>
      </c>
      <c r="C154" s="152" t="s">
        <v>632</v>
      </c>
      <c r="D154" s="152" t="s">
        <v>640</v>
      </c>
      <c r="E154" s="120" t="s">
        <v>641</v>
      </c>
      <c r="F154" s="123" t="s">
        <v>33</v>
      </c>
      <c r="G154" s="123" t="s">
        <v>33</v>
      </c>
      <c r="H154" s="123" t="s">
        <v>30</v>
      </c>
      <c r="I154" s="123" t="s">
        <v>356</v>
      </c>
      <c r="J154" s="123" t="s">
        <v>33</v>
      </c>
      <c r="K154" s="123" t="s">
        <v>33</v>
      </c>
      <c r="L154" s="123" t="s">
        <v>586</v>
      </c>
      <c r="M154" s="123" t="s">
        <v>33</v>
      </c>
      <c r="N154" s="123" t="s">
        <v>33</v>
      </c>
      <c r="O154" s="123" t="s">
        <v>33</v>
      </c>
      <c r="P154" s="123" t="s">
        <v>33</v>
      </c>
      <c r="Q154" s="123" t="s">
        <v>33</v>
      </c>
      <c r="R154" s="123" t="s">
        <v>33</v>
      </c>
      <c r="S154" s="18"/>
      <c r="T154" s="18"/>
      <c r="U154" s="18"/>
      <c r="V154" s="18"/>
      <c r="W154" s="18"/>
    </row>
    <row r="155" spans="1:23" x14ac:dyDescent="0.3">
      <c r="A155" s="154"/>
      <c r="B155" s="154"/>
      <c r="C155" s="154"/>
      <c r="D155" s="154"/>
      <c r="E155" s="120" t="s">
        <v>642</v>
      </c>
      <c r="F155" s="123"/>
      <c r="G155" s="123"/>
      <c r="H155" s="123" t="s">
        <v>30</v>
      </c>
      <c r="I155" s="123" t="s">
        <v>356</v>
      </c>
      <c r="J155" s="123"/>
      <c r="K155" s="123"/>
      <c r="L155" s="123"/>
      <c r="M155" s="123"/>
      <c r="N155" s="123"/>
      <c r="O155" s="123"/>
      <c r="P155" s="123"/>
      <c r="Q155" s="123"/>
      <c r="R155" s="123"/>
      <c r="S155" s="18"/>
      <c r="T155" s="18"/>
      <c r="U155" s="18"/>
      <c r="V155" s="18"/>
      <c r="W155" s="18"/>
    </row>
    <row r="156" spans="1:23" x14ac:dyDescent="0.3">
      <c r="A156" s="154"/>
      <c r="B156" s="154"/>
      <c r="C156" s="154"/>
      <c r="D156" s="154"/>
      <c r="E156" s="120" t="s">
        <v>643</v>
      </c>
      <c r="F156" s="123"/>
      <c r="G156" s="123"/>
      <c r="H156" s="123" t="s">
        <v>30</v>
      </c>
      <c r="I156" s="123" t="s">
        <v>356</v>
      </c>
      <c r="J156" s="123"/>
      <c r="K156" s="123"/>
      <c r="L156" s="123"/>
      <c r="M156" s="123"/>
      <c r="N156" s="123"/>
      <c r="O156" s="123"/>
      <c r="P156" s="123"/>
      <c r="Q156" s="123"/>
      <c r="R156" s="123"/>
      <c r="S156" s="18"/>
      <c r="T156" s="18"/>
      <c r="U156" s="18"/>
      <c r="V156" s="18"/>
      <c r="W156" s="18"/>
    </row>
    <row r="157" spans="1:23" x14ac:dyDescent="0.3">
      <c r="A157" s="154"/>
      <c r="B157" s="154"/>
      <c r="C157" s="154"/>
      <c r="D157" s="154"/>
      <c r="E157" s="120" t="s">
        <v>644</v>
      </c>
      <c r="F157" s="123"/>
      <c r="G157" s="123"/>
      <c r="H157" s="123" t="s">
        <v>30</v>
      </c>
      <c r="I157" s="123" t="s">
        <v>356</v>
      </c>
      <c r="J157" s="123"/>
      <c r="K157" s="123"/>
      <c r="L157" s="123"/>
      <c r="M157" s="123"/>
      <c r="N157" s="123"/>
      <c r="O157" s="123"/>
      <c r="P157" s="123"/>
      <c r="Q157" s="123"/>
      <c r="R157" s="123"/>
      <c r="S157" s="18"/>
      <c r="T157" s="18"/>
      <c r="U157" s="18"/>
      <c r="V157" s="18"/>
      <c r="W157" s="18"/>
    </row>
    <row r="158" spans="1:23" x14ac:dyDescent="0.3">
      <c r="A158" s="153"/>
      <c r="B158" s="153"/>
      <c r="C158" s="153"/>
      <c r="D158" s="153"/>
      <c r="E158" s="120" t="s">
        <v>645</v>
      </c>
      <c r="F158" s="123"/>
      <c r="G158" s="123"/>
      <c r="H158" s="123" t="s">
        <v>30</v>
      </c>
      <c r="I158" s="123" t="s">
        <v>356</v>
      </c>
      <c r="J158" s="123"/>
      <c r="K158" s="123"/>
      <c r="L158" s="123"/>
      <c r="M158" s="123"/>
      <c r="N158" s="123"/>
      <c r="O158" s="123"/>
      <c r="P158" s="123"/>
      <c r="Q158" s="123"/>
      <c r="R158" s="123"/>
      <c r="S158" s="18"/>
      <c r="T158" s="18"/>
      <c r="U158" s="18"/>
      <c r="V158" s="18"/>
      <c r="W158" s="18"/>
    </row>
    <row r="159" spans="1:23" x14ac:dyDescent="0.3">
      <c r="A159" s="97" t="s">
        <v>379</v>
      </c>
      <c r="B159" s="97" t="s">
        <v>646</v>
      </c>
      <c r="C159" s="97" t="s">
        <v>647</v>
      </c>
      <c r="D159" s="123" t="s">
        <v>33</v>
      </c>
      <c r="E159" s="120" t="s">
        <v>648</v>
      </c>
      <c r="F159" s="123"/>
      <c r="G159" s="123" t="s">
        <v>33</v>
      </c>
      <c r="H159" s="123" t="s">
        <v>30</v>
      </c>
      <c r="I159" s="123" t="s">
        <v>356</v>
      </c>
      <c r="J159" s="123" t="s">
        <v>33</v>
      </c>
      <c r="K159" s="123" t="s">
        <v>33</v>
      </c>
      <c r="L159" s="123" t="s">
        <v>586</v>
      </c>
      <c r="M159" s="123" t="s">
        <v>33</v>
      </c>
      <c r="N159" s="123" t="s">
        <v>33</v>
      </c>
      <c r="O159" s="123" t="s">
        <v>33</v>
      </c>
      <c r="P159" s="123" t="s">
        <v>33</v>
      </c>
      <c r="Q159" s="123" t="s">
        <v>33</v>
      </c>
      <c r="R159" s="18"/>
      <c r="S159" s="18"/>
      <c r="T159" s="18"/>
      <c r="U159" s="18"/>
      <c r="V159" s="18"/>
      <c r="W159" s="18"/>
    </row>
    <row r="160" spans="1:23" x14ac:dyDescent="0.3">
      <c r="A160" s="97" t="s">
        <v>372</v>
      </c>
      <c r="B160" s="97" t="s">
        <v>646</v>
      </c>
      <c r="C160" s="97" t="s">
        <v>647</v>
      </c>
      <c r="D160" s="123" t="s">
        <v>33</v>
      </c>
      <c r="E160" s="120" t="s">
        <v>649</v>
      </c>
      <c r="F160" s="123"/>
      <c r="G160" s="123" t="s">
        <v>33</v>
      </c>
      <c r="H160" s="123" t="s">
        <v>30</v>
      </c>
      <c r="I160" s="123" t="s">
        <v>356</v>
      </c>
      <c r="J160" s="123" t="s">
        <v>33</v>
      </c>
      <c r="K160" s="123" t="s">
        <v>33</v>
      </c>
      <c r="L160" s="123" t="s">
        <v>586</v>
      </c>
      <c r="M160" s="123" t="s">
        <v>33</v>
      </c>
      <c r="N160" s="123" t="s">
        <v>33</v>
      </c>
      <c r="O160" s="123" t="s">
        <v>33</v>
      </c>
      <c r="P160" s="123" t="s">
        <v>33</v>
      </c>
      <c r="Q160" s="123" t="s">
        <v>33</v>
      </c>
      <c r="R160" s="18"/>
      <c r="S160" s="18"/>
      <c r="T160" s="18"/>
      <c r="U160" s="18"/>
      <c r="V160" s="18"/>
      <c r="W160" s="18"/>
    </row>
    <row r="161" spans="1:23" x14ac:dyDescent="0.3">
      <c r="A161" s="152" t="s">
        <v>567</v>
      </c>
      <c r="B161" s="152" t="s">
        <v>650</v>
      </c>
      <c r="C161" s="152" t="s">
        <v>651</v>
      </c>
      <c r="D161" s="152" t="s">
        <v>652</v>
      </c>
      <c r="E161" s="120" t="s">
        <v>653</v>
      </c>
      <c r="F161" s="123" t="s">
        <v>33</v>
      </c>
      <c r="G161" s="123" t="s">
        <v>33</v>
      </c>
      <c r="H161" s="123" t="s">
        <v>30</v>
      </c>
      <c r="I161" s="123" t="s">
        <v>356</v>
      </c>
      <c r="J161" s="123" t="s">
        <v>33</v>
      </c>
      <c r="K161" s="123" t="s">
        <v>33</v>
      </c>
      <c r="L161" s="123" t="s">
        <v>586</v>
      </c>
      <c r="M161" s="123" t="s">
        <v>33</v>
      </c>
      <c r="N161" s="123" t="s">
        <v>33</v>
      </c>
      <c r="O161" s="123" t="s">
        <v>33</v>
      </c>
      <c r="P161" s="123" t="s">
        <v>33</v>
      </c>
      <c r="Q161" s="123" t="s">
        <v>33</v>
      </c>
      <c r="R161" s="123" t="s">
        <v>33</v>
      </c>
      <c r="S161" s="18"/>
      <c r="T161" s="18"/>
      <c r="U161" s="18"/>
      <c r="V161" s="18"/>
      <c r="W161" s="18"/>
    </row>
    <row r="162" spans="1:23" x14ac:dyDescent="0.3">
      <c r="A162" s="154"/>
      <c r="B162" s="154"/>
      <c r="C162" s="154"/>
      <c r="D162" s="154"/>
      <c r="E162" s="120" t="s">
        <v>654</v>
      </c>
      <c r="F162" s="123"/>
      <c r="G162" s="123"/>
      <c r="H162" s="123" t="s">
        <v>30</v>
      </c>
      <c r="I162" s="123" t="s">
        <v>356</v>
      </c>
      <c r="J162" s="123"/>
      <c r="K162" s="123"/>
      <c r="L162" s="123" t="s">
        <v>586</v>
      </c>
      <c r="M162" s="123"/>
      <c r="N162" s="123"/>
      <c r="O162" s="123"/>
      <c r="P162" s="123"/>
      <c r="Q162" s="123"/>
      <c r="R162" s="123"/>
      <c r="S162" s="18"/>
      <c r="T162" s="18"/>
      <c r="U162" s="18"/>
      <c r="V162" s="18"/>
      <c r="W162" s="18"/>
    </row>
    <row r="163" spans="1:23" x14ac:dyDescent="0.3">
      <c r="A163" s="154"/>
      <c r="B163" s="154"/>
      <c r="C163" s="154"/>
      <c r="D163" s="154"/>
      <c r="E163" s="120" t="s">
        <v>655</v>
      </c>
      <c r="F163" s="123"/>
      <c r="G163" s="123"/>
      <c r="H163" s="123" t="s">
        <v>30</v>
      </c>
      <c r="I163" s="123" t="s">
        <v>356</v>
      </c>
      <c r="J163" s="123"/>
      <c r="K163" s="123"/>
      <c r="L163" s="123" t="s">
        <v>586</v>
      </c>
      <c r="M163" s="123"/>
      <c r="N163" s="123"/>
      <c r="O163" s="123"/>
      <c r="P163" s="123"/>
      <c r="Q163" s="123"/>
      <c r="R163" s="123"/>
      <c r="S163" s="18"/>
      <c r="T163" s="18"/>
      <c r="U163" s="18"/>
      <c r="V163" s="18"/>
      <c r="W163" s="18"/>
    </row>
    <row r="164" spans="1:23" x14ac:dyDescent="0.3">
      <c r="A164" s="154"/>
      <c r="B164" s="154"/>
      <c r="C164" s="154"/>
      <c r="D164" s="154"/>
      <c r="E164" s="120" t="s">
        <v>656</v>
      </c>
      <c r="F164" s="123"/>
      <c r="G164" s="123"/>
      <c r="H164" s="123" t="s">
        <v>30</v>
      </c>
      <c r="I164" s="123" t="s">
        <v>356</v>
      </c>
      <c r="J164" s="123"/>
      <c r="K164" s="123"/>
      <c r="L164" s="123" t="s">
        <v>586</v>
      </c>
      <c r="M164" s="123"/>
      <c r="N164" s="123"/>
      <c r="O164" s="123"/>
      <c r="P164" s="123"/>
      <c r="Q164" s="123"/>
      <c r="R164" s="123"/>
      <c r="S164" s="18"/>
      <c r="T164" s="18"/>
      <c r="U164" s="18"/>
      <c r="V164" s="18"/>
      <c r="W164" s="18"/>
    </row>
    <row r="165" spans="1:23" x14ac:dyDescent="0.3">
      <c r="A165" s="153"/>
      <c r="B165" s="153"/>
      <c r="C165" s="153"/>
      <c r="D165" s="153"/>
      <c r="E165" s="120" t="s">
        <v>657</v>
      </c>
      <c r="F165" s="123"/>
      <c r="G165" s="123"/>
      <c r="H165" s="123" t="s">
        <v>30</v>
      </c>
      <c r="I165" s="123" t="s">
        <v>356</v>
      </c>
      <c r="J165" s="123"/>
      <c r="K165" s="123"/>
      <c r="L165" s="123" t="s">
        <v>586</v>
      </c>
      <c r="M165" s="123"/>
      <c r="N165" s="123"/>
      <c r="O165" s="123"/>
      <c r="P165" s="123"/>
      <c r="Q165" s="123"/>
      <c r="R165" s="123"/>
      <c r="S165" s="18"/>
      <c r="T165" s="18"/>
      <c r="U165" s="18"/>
      <c r="V165" s="18"/>
      <c r="W165" s="18"/>
    </row>
    <row r="166" spans="1:23" x14ac:dyDescent="0.3">
      <c r="A166" s="97" t="s">
        <v>372</v>
      </c>
      <c r="B166" s="97" t="s">
        <v>658</v>
      </c>
      <c r="C166" s="97" t="s">
        <v>659</v>
      </c>
      <c r="D166" s="123" t="s">
        <v>660</v>
      </c>
      <c r="E166" s="95" t="s">
        <v>661</v>
      </c>
      <c r="F166" s="123" t="s">
        <v>33</v>
      </c>
      <c r="G166" s="123" t="s">
        <v>33</v>
      </c>
      <c r="H166" s="123" t="s">
        <v>30</v>
      </c>
      <c r="I166" s="123" t="s">
        <v>356</v>
      </c>
      <c r="J166" s="123" t="s">
        <v>33</v>
      </c>
      <c r="K166" s="123" t="s">
        <v>33</v>
      </c>
      <c r="L166" s="123" t="s">
        <v>662</v>
      </c>
      <c r="M166" s="123" t="s">
        <v>33</v>
      </c>
      <c r="N166" s="123" t="s">
        <v>33</v>
      </c>
      <c r="O166" s="123" t="s">
        <v>33</v>
      </c>
      <c r="P166" s="123" t="s">
        <v>33</v>
      </c>
      <c r="Q166" s="123" t="s">
        <v>33</v>
      </c>
      <c r="R166" s="123" t="s">
        <v>33</v>
      </c>
      <c r="S166" s="18"/>
      <c r="T166" s="18"/>
      <c r="U166" s="18"/>
      <c r="V166" s="18"/>
      <c r="W166" s="18"/>
    </row>
    <row r="167" spans="1:23" x14ac:dyDescent="0.3">
      <c r="A167" s="97" t="s">
        <v>348</v>
      </c>
      <c r="B167" s="97" t="s">
        <v>663</v>
      </c>
      <c r="C167" s="97" t="s">
        <v>659</v>
      </c>
      <c r="D167" s="123" t="s">
        <v>664</v>
      </c>
      <c r="E167" s="95" t="s">
        <v>665</v>
      </c>
      <c r="F167" s="123" t="s">
        <v>33</v>
      </c>
      <c r="G167" s="123" t="s">
        <v>33</v>
      </c>
      <c r="H167" s="123" t="s">
        <v>30</v>
      </c>
      <c r="I167" s="123" t="s">
        <v>356</v>
      </c>
      <c r="J167" s="123" t="s">
        <v>33</v>
      </c>
      <c r="K167" s="123" t="s">
        <v>33</v>
      </c>
      <c r="L167" s="123" t="s">
        <v>662</v>
      </c>
      <c r="M167" s="123" t="s">
        <v>33</v>
      </c>
      <c r="N167" s="123" t="s">
        <v>33</v>
      </c>
      <c r="O167" s="123" t="s">
        <v>33</v>
      </c>
      <c r="P167" s="123" t="s">
        <v>33</v>
      </c>
      <c r="Q167" s="123" t="s">
        <v>33</v>
      </c>
      <c r="R167" s="123" t="s">
        <v>33</v>
      </c>
      <c r="S167" s="18"/>
      <c r="T167" s="18"/>
      <c r="U167" s="18"/>
      <c r="V167" s="18"/>
      <c r="W167" s="18"/>
    </row>
    <row r="168" spans="1:23" x14ac:dyDescent="0.3">
      <c r="A168" s="97" t="s">
        <v>401</v>
      </c>
      <c r="B168" s="97" t="s">
        <v>658</v>
      </c>
      <c r="C168" s="97" t="s">
        <v>659</v>
      </c>
      <c r="D168" s="123" t="s">
        <v>666</v>
      </c>
      <c r="E168" s="95" t="s">
        <v>667</v>
      </c>
      <c r="F168" s="123" t="s">
        <v>33</v>
      </c>
      <c r="G168" s="123" t="s">
        <v>33</v>
      </c>
      <c r="H168" s="123" t="s">
        <v>30</v>
      </c>
      <c r="I168" s="123" t="s">
        <v>356</v>
      </c>
      <c r="J168" s="123" t="s">
        <v>33</v>
      </c>
      <c r="K168" s="123" t="s">
        <v>33</v>
      </c>
      <c r="L168" s="123" t="s">
        <v>662</v>
      </c>
      <c r="M168" s="123" t="s">
        <v>33</v>
      </c>
      <c r="N168" s="123" t="s">
        <v>33</v>
      </c>
      <c r="O168" s="123" t="s">
        <v>33</v>
      </c>
      <c r="P168" s="123" t="s">
        <v>33</v>
      </c>
      <c r="Q168" s="123" t="s">
        <v>33</v>
      </c>
      <c r="R168" s="123" t="s">
        <v>33</v>
      </c>
      <c r="S168" s="18"/>
      <c r="T168" s="18"/>
      <c r="U168" s="18"/>
      <c r="V168" s="18"/>
      <c r="W168" s="18"/>
    </row>
    <row r="169" spans="1:23" x14ac:dyDescent="0.3">
      <c r="A169" s="97" t="s">
        <v>394</v>
      </c>
      <c r="B169" s="97" t="s">
        <v>663</v>
      </c>
      <c r="C169" s="97" t="s">
        <v>659</v>
      </c>
      <c r="D169" s="123" t="s">
        <v>668</v>
      </c>
      <c r="E169" s="95" t="s">
        <v>669</v>
      </c>
      <c r="F169" s="123" t="s">
        <v>33</v>
      </c>
      <c r="G169" s="123" t="s">
        <v>33</v>
      </c>
      <c r="H169" s="123" t="s">
        <v>30</v>
      </c>
      <c r="I169" s="123" t="s">
        <v>356</v>
      </c>
      <c r="J169" s="123" t="s">
        <v>33</v>
      </c>
      <c r="K169" s="123" t="s">
        <v>33</v>
      </c>
      <c r="L169" s="123" t="s">
        <v>662</v>
      </c>
      <c r="M169" s="123" t="s">
        <v>33</v>
      </c>
      <c r="N169" s="123" t="s">
        <v>33</v>
      </c>
      <c r="O169" s="123" t="s">
        <v>33</v>
      </c>
      <c r="P169" s="123" t="s">
        <v>33</v>
      </c>
      <c r="Q169" s="123" t="s">
        <v>33</v>
      </c>
      <c r="R169" s="123" t="s">
        <v>33</v>
      </c>
      <c r="S169" s="18"/>
      <c r="T169" s="18"/>
      <c r="U169" s="18"/>
      <c r="V169" s="18"/>
      <c r="W169" s="18"/>
    </row>
    <row r="170" spans="1:23" x14ac:dyDescent="0.3">
      <c r="A170" s="97" t="s">
        <v>670</v>
      </c>
      <c r="B170" s="97" t="s">
        <v>671</v>
      </c>
      <c r="C170" s="97" t="s">
        <v>672</v>
      </c>
      <c r="D170" s="123" t="s">
        <v>673</v>
      </c>
      <c r="E170" s="95" t="s">
        <v>674</v>
      </c>
      <c r="F170" s="123"/>
      <c r="G170" s="123"/>
      <c r="H170" s="123" t="s">
        <v>30</v>
      </c>
      <c r="I170" s="123" t="s">
        <v>356</v>
      </c>
      <c r="J170" s="123"/>
      <c r="K170" s="123"/>
      <c r="L170" s="123" t="s">
        <v>675</v>
      </c>
      <c r="M170" s="123"/>
      <c r="N170" s="123"/>
      <c r="O170" s="123"/>
      <c r="P170" s="123"/>
      <c r="Q170" s="123"/>
      <c r="R170" s="123"/>
      <c r="S170" s="18"/>
      <c r="T170" s="18"/>
      <c r="U170" s="18"/>
      <c r="V170" s="18"/>
      <c r="W170" s="18"/>
    </row>
    <row r="171" spans="1:23" x14ac:dyDescent="0.3">
      <c r="A171" s="97" t="s">
        <v>417</v>
      </c>
      <c r="B171" s="97" t="s">
        <v>676</v>
      </c>
      <c r="C171" s="97" t="s">
        <v>677</v>
      </c>
      <c r="D171" s="123" t="s">
        <v>678</v>
      </c>
      <c r="E171" s="18" t="s">
        <v>679</v>
      </c>
      <c r="F171" s="123"/>
      <c r="G171" s="123"/>
      <c r="H171" s="123" t="s">
        <v>30</v>
      </c>
      <c r="I171" s="123" t="s">
        <v>363</v>
      </c>
      <c r="J171" s="123"/>
      <c r="K171" s="123"/>
      <c r="L171" s="123"/>
      <c r="M171" s="123"/>
      <c r="N171" s="123"/>
      <c r="O171" s="123"/>
      <c r="P171" s="123"/>
      <c r="Q171" s="123"/>
      <c r="R171" s="123"/>
      <c r="S171" s="18"/>
      <c r="T171" s="18"/>
      <c r="U171" s="18"/>
      <c r="V171" s="18"/>
      <c r="W171" s="18"/>
    </row>
    <row r="172" spans="1:23" x14ac:dyDescent="0.3">
      <c r="A172" s="97" t="s">
        <v>448</v>
      </c>
      <c r="B172" s="97" t="s">
        <v>676</v>
      </c>
      <c r="C172" s="97" t="s">
        <v>677</v>
      </c>
      <c r="D172" s="123" t="s">
        <v>680</v>
      </c>
      <c r="E172" s="18" t="s">
        <v>681</v>
      </c>
      <c r="F172" s="123"/>
      <c r="G172" s="123"/>
      <c r="H172" s="123" t="s">
        <v>30</v>
      </c>
      <c r="I172" s="123" t="s">
        <v>363</v>
      </c>
      <c r="J172" s="123"/>
      <c r="K172" s="123"/>
      <c r="L172" s="123"/>
      <c r="M172" s="123"/>
      <c r="N172" s="123"/>
      <c r="O172" s="123"/>
      <c r="P172" s="123"/>
      <c r="Q172" s="123"/>
      <c r="R172" s="123"/>
      <c r="S172" s="18"/>
      <c r="T172" s="18"/>
      <c r="U172" s="18"/>
      <c r="V172" s="18"/>
      <c r="W172" s="18"/>
    </row>
    <row r="173" spans="1:23" x14ac:dyDescent="0.3">
      <c r="A173" s="152" t="s">
        <v>682</v>
      </c>
      <c r="B173" s="152" t="s">
        <v>349</v>
      </c>
      <c r="C173" s="152" t="s">
        <v>350</v>
      </c>
      <c r="D173" s="152" t="s">
        <v>683</v>
      </c>
      <c r="E173" s="120" t="s">
        <v>684</v>
      </c>
      <c r="F173" s="123" t="s">
        <v>369</v>
      </c>
      <c r="G173" s="123" t="s">
        <v>33</v>
      </c>
      <c r="H173" s="123" t="s">
        <v>685</v>
      </c>
      <c r="I173" s="123" t="s">
        <v>356</v>
      </c>
      <c r="J173" s="123" t="s">
        <v>33</v>
      </c>
      <c r="K173" s="123" t="s">
        <v>33</v>
      </c>
      <c r="L173" s="123" t="s">
        <v>370</v>
      </c>
      <c r="M173" s="123" t="s">
        <v>33</v>
      </c>
      <c r="N173" s="123" t="s">
        <v>33</v>
      </c>
      <c r="O173" s="123">
        <v>64</v>
      </c>
      <c r="P173" s="123">
        <v>512</v>
      </c>
      <c r="Q173" s="123"/>
      <c r="R173" s="123" t="s">
        <v>33</v>
      </c>
      <c r="S173" s="18"/>
      <c r="T173" s="18"/>
      <c r="U173" s="18"/>
      <c r="V173" s="18"/>
      <c r="W173" s="18"/>
    </row>
    <row r="174" spans="1:23" x14ac:dyDescent="0.3">
      <c r="A174" s="153"/>
      <c r="B174" s="153"/>
      <c r="C174" s="153"/>
      <c r="D174" s="153"/>
      <c r="E174" s="120" t="s">
        <v>686</v>
      </c>
      <c r="F174" s="123"/>
      <c r="G174" s="123"/>
      <c r="H174" s="123" t="s">
        <v>685</v>
      </c>
      <c r="I174" s="123" t="s">
        <v>356</v>
      </c>
      <c r="J174" s="123"/>
      <c r="K174" s="123"/>
      <c r="L174" s="123" t="s">
        <v>357</v>
      </c>
      <c r="M174" s="123"/>
      <c r="N174" s="123"/>
      <c r="O174" s="123"/>
      <c r="P174" s="123"/>
      <c r="Q174" s="123"/>
      <c r="R174" s="123"/>
      <c r="S174" s="18"/>
      <c r="T174" s="18"/>
      <c r="U174" s="18"/>
      <c r="V174" s="18"/>
      <c r="W174" s="18"/>
    </row>
    <row r="175" spans="1:23" x14ac:dyDescent="0.3">
      <c r="A175" s="152" t="s">
        <v>682</v>
      </c>
      <c r="B175" s="152" t="s">
        <v>366</v>
      </c>
      <c r="C175" s="152" t="s">
        <v>350</v>
      </c>
      <c r="D175" s="152" t="s">
        <v>687</v>
      </c>
      <c r="E175" s="120" t="s">
        <v>688</v>
      </c>
      <c r="F175" s="123" t="s">
        <v>369</v>
      </c>
      <c r="G175" s="123" t="s">
        <v>33</v>
      </c>
      <c r="H175" s="123" t="s">
        <v>685</v>
      </c>
      <c r="I175" s="123" t="s">
        <v>356</v>
      </c>
      <c r="J175" s="123" t="s">
        <v>33</v>
      </c>
      <c r="K175" s="123" t="s">
        <v>33</v>
      </c>
      <c r="L175" s="123" t="s">
        <v>370</v>
      </c>
      <c r="M175" s="123" t="s">
        <v>33</v>
      </c>
      <c r="N175" s="123" t="s">
        <v>33</v>
      </c>
      <c r="O175" s="123">
        <v>64</v>
      </c>
      <c r="P175" s="123">
        <v>512</v>
      </c>
      <c r="Q175" s="123"/>
      <c r="R175" s="123" t="s">
        <v>33</v>
      </c>
      <c r="S175" s="18"/>
      <c r="T175" s="18"/>
      <c r="U175" s="18"/>
      <c r="V175" s="18"/>
      <c r="W175" s="18"/>
    </row>
    <row r="176" spans="1:23" x14ac:dyDescent="0.3">
      <c r="A176" s="153"/>
      <c r="B176" s="153"/>
      <c r="C176" s="153"/>
      <c r="D176" s="153"/>
      <c r="E176" s="120" t="s">
        <v>689</v>
      </c>
      <c r="F176" s="123"/>
      <c r="G176" s="123"/>
      <c r="H176" s="123" t="s">
        <v>685</v>
      </c>
      <c r="I176" s="123" t="s">
        <v>356</v>
      </c>
      <c r="J176" s="123"/>
      <c r="K176" s="123"/>
      <c r="L176" s="123" t="s">
        <v>357</v>
      </c>
      <c r="M176" s="123"/>
      <c r="N176" s="123"/>
      <c r="O176" s="123"/>
      <c r="P176" s="123"/>
      <c r="Q176" s="123"/>
      <c r="R176" s="123"/>
      <c r="S176" s="18"/>
      <c r="T176" s="18"/>
      <c r="U176" s="18"/>
      <c r="V176" s="18"/>
      <c r="W176" s="18"/>
    </row>
    <row r="177" spans="1:23" x14ac:dyDescent="0.3">
      <c r="A177" s="152" t="s">
        <v>690</v>
      </c>
      <c r="B177" s="152" t="s">
        <v>349</v>
      </c>
      <c r="C177" s="152" t="s">
        <v>350</v>
      </c>
      <c r="D177" s="152" t="s">
        <v>691</v>
      </c>
      <c r="E177" s="120" t="s">
        <v>692</v>
      </c>
      <c r="F177" s="123" t="s">
        <v>369</v>
      </c>
      <c r="G177" s="123" t="s">
        <v>33</v>
      </c>
      <c r="H177" s="123" t="s">
        <v>685</v>
      </c>
      <c r="I177" s="123" t="s">
        <v>356</v>
      </c>
      <c r="J177" s="123" t="s">
        <v>33</v>
      </c>
      <c r="K177" s="123" t="s">
        <v>33</v>
      </c>
      <c r="L177" s="123" t="s">
        <v>370</v>
      </c>
      <c r="M177" s="123" t="s">
        <v>33</v>
      </c>
      <c r="N177" s="123" t="s">
        <v>33</v>
      </c>
      <c r="O177" s="123">
        <v>64</v>
      </c>
      <c r="P177" s="123">
        <v>512</v>
      </c>
      <c r="Q177" s="123"/>
      <c r="R177" s="123" t="s">
        <v>33</v>
      </c>
      <c r="S177" s="18"/>
      <c r="T177" s="18"/>
      <c r="U177" s="18"/>
      <c r="V177" s="18"/>
      <c r="W177" s="18"/>
    </row>
    <row r="178" spans="1:23" x14ac:dyDescent="0.3">
      <c r="A178" s="153"/>
      <c r="B178" s="153"/>
      <c r="C178" s="153"/>
      <c r="D178" s="153"/>
      <c r="E178" s="120" t="s">
        <v>693</v>
      </c>
      <c r="F178" s="123"/>
      <c r="G178" s="123"/>
      <c r="H178" s="123" t="s">
        <v>685</v>
      </c>
      <c r="I178" s="123" t="s">
        <v>356</v>
      </c>
      <c r="J178" s="123"/>
      <c r="K178" s="123"/>
      <c r="L178" s="123" t="s">
        <v>357</v>
      </c>
      <c r="M178" s="123"/>
      <c r="N178" s="123"/>
      <c r="O178" s="123"/>
      <c r="P178" s="123"/>
      <c r="Q178" s="123"/>
      <c r="R178" s="123"/>
      <c r="S178" s="18"/>
      <c r="T178" s="18"/>
      <c r="U178" s="18"/>
      <c r="V178" s="18"/>
      <c r="W178" s="18"/>
    </row>
    <row r="179" spans="1:23" x14ac:dyDescent="0.3">
      <c r="A179" s="152" t="s">
        <v>690</v>
      </c>
      <c r="B179" s="152" t="s">
        <v>366</v>
      </c>
      <c r="C179" s="152" t="s">
        <v>350</v>
      </c>
      <c r="D179" s="152" t="s">
        <v>694</v>
      </c>
      <c r="E179" s="120" t="s">
        <v>695</v>
      </c>
      <c r="F179" s="123" t="s">
        <v>369</v>
      </c>
      <c r="G179" s="123" t="s">
        <v>33</v>
      </c>
      <c r="H179" s="123" t="s">
        <v>685</v>
      </c>
      <c r="I179" s="123" t="s">
        <v>356</v>
      </c>
      <c r="J179" s="123" t="s">
        <v>33</v>
      </c>
      <c r="K179" s="123" t="s">
        <v>33</v>
      </c>
      <c r="L179" s="123" t="s">
        <v>370</v>
      </c>
      <c r="M179" s="123" t="s">
        <v>33</v>
      </c>
      <c r="N179" s="123" t="s">
        <v>33</v>
      </c>
      <c r="O179" s="123">
        <v>64</v>
      </c>
      <c r="P179" s="123">
        <v>512</v>
      </c>
      <c r="Q179" s="123" t="s">
        <v>33</v>
      </c>
      <c r="R179" s="123" t="s">
        <v>33</v>
      </c>
      <c r="S179" s="18"/>
      <c r="T179" s="18"/>
      <c r="U179" s="18"/>
      <c r="V179" s="18"/>
      <c r="W179" s="18"/>
    </row>
    <row r="180" spans="1:23" x14ac:dyDescent="0.3">
      <c r="A180" s="153"/>
      <c r="B180" s="153"/>
      <c r="C180" s="153"/>
      <c r="D180" s="153"/>
      <c r="E180" s="120" t="s">
        <v>696</v>
      </c>
      <c r="F180" s="123"/>
      <c r="G180" s="123"/>
      <c r="H180" s="123" t="s">
        <v>685</v>
      </c>
      <c r="I180" s="123" t="s">
        <v>356</v>
      </c>
      <c r="J180" s="123"/>
      <c r="K180" s="123"/>
      <c r="L180" s="123" t="s">
        <v>357</v>
      </c>
      <c r="M180" s="123"/>
      <c r="N180" s="123"/>
      <c r="O180" s="123"/>
      <c r="P180" s="123"/>
      <c r="Q180" s="123"/>
      <c r="R180" s="123"/>
      <c r="S180" s="18"/>
      <c r="T180" s="18"/>
      <c r="U180" s="18"/>
      <c r="V180" s="18"/>
      <c r="W180" s="18"/>
    </row>
    <row r="181" spans="1:23" x14ac:dyDescent="0.3">
      <c r="A181" s="152" t="s">
        <v>697</v>
      </c>
      <c r="B181" s="152" t="s">
        <v>349</v>
      </c>
      <c r="C181" s="152" t="s">
        <v>350</v>
      </c>
      <c r="D181" s="152" t="s">
        <v>698</v>
      </c>
      <c r="E181" s="120" t="s">
        <v>699</v>
      </c>
      <c r="F181" s="123" t="s">
        <v>369</v>
      </c>
      <c r="G181" s="123" t="s">
        <v>33</v>
      </c>
      <c r="H181" s="123" t="s">
        <v>685</v>
      </c>
      <c r="I181" s="123" t="s">
        <v>356</v>
      </c>
      <c r="J181" s="123" t="s">
        <v>33</v>
      </c>
      <c r="K181" s="123" t="s">
        <v>33</v>
      </c>
      <c r="L181" s="123" t="s">
        <v>370</v>
      </c>
      <c r="M181" s="123" t="s">
        <v>33</v>
      </c>
      <c r="N181" s="123" t="s">
        <v>33</v>
      </c>
      <c r="O181" s="123">
        <v>64</v>
      </c>
      <c r="P181" s="123">
        <v>512</v>
      </c>
      <c r="Q181" s="123" t="s">
        <v>33</v>
      </c>
      <c r="R181" s="123" t="s">
        <v>33</v>
      </c>
      <c r="S181" s="18"/>
      <c r="T181" s="18"/>
      <c r="U181" s="18"/>
      <c r="V181" s="18"/>
      <c r="W181" s="18"/>
    </row>
    <row r="182" spans="1:23" x14ac:dyDescent="0.3">
      <c r="A182" s="153"/>
      <c r="B182" s="153"/>
      <c r="C182" s="153"/>
      <c r="D182" s="153"/>
      <c r="E182" s="120" t="s">
        <v>700</v>
      </c>
      <c r="F182" s="123"/>
      <c r="G182" s="123"/>
      <c r="H182" s="123" t="s">
        <v>685</v>
      </c>
      <c r="I182" s="123" t="s">
        <v>356</v>
      </c>
      <c r="J182" s="123"/>
      <c r="K182" s="123"/>
      <c r="L182" s="123" t="s">
        <v>357</v>
      </c>
      <c r="M182" s="123"/>
      <c r="N182" s="123"/>
      <c r="O182" s="123"/>
      <c r="P182" s="123"/>
      <c r="Q182" s="123"/>
      <c r="R182" s="123"/>
      <c r="S182" s="18"/>
      <c r="T182" s="18"/>
      <c r="U182" s="18"/>
      <c r="V182" s="18"/>
      <c r="W182" s="18"/>
    </row>
    <row r="183" spans="1:23" x14ac:dyDescent="0.3">
      <c r="A183" s="152" t="s">
        <v>690</v>
      </c>
      <c r="B183" s="152" t="s">
        <v>701</v>
      </c>
      <c r="C183" s="152" t="s">
        <v>350</v>
      </c>
      <c r="D183" s="152" t="s">
        <v>702</v>
      </c>
      <c r="E183" s="120" t="s">
        <v>703</v>
      </c>
      <c r="F183" s="123" t="s">
        <v>369</v>
      </c>
      <c r="G183" s="123" t="s">
        <v>33</v>
      </c>
      <c r="H183" s="123" t="s">
        <v>685</v>
      </c>
      <c r="I183" s="123" t="s">
        <v>356</v>
      </c>
      <c r="J183" s="123" t="s">
        <v>33</v>
      </c>
      <c r="K183" s="123" t="s">
        <v>33</v>
      </c>
      <c r="L183" s="123" t="s">
        <v>370</v>
      </c>
      <c r="M183" s="123" t="s">
        <v>33</v>
      </c>
      <c r="N183" s="123" t="s">
        <v>33</v>
      </c>
      <c r="O183" s="123">
        <v>32</v>
      </c>
      <c r="P183" s="123">
        <v>356</v>
      </c>
      <c r="Q183" s="123" t="s">
        <v>33</v>
      </c>
      <c r="R183" s="123" t="s">
        <v>33</v>
      </c>
      <c r="S183" s="18"/>
      <c r="T183" s="18"/>
      <c r="U183" s="18"/>
      <c r="V183" s="18"/>
      <c r="W183" s="18"/>
    </row>
    <row r="184" spans="1:23" x14ac:dyDescent="0.3">
      <c r="A184" s="153"/>
      <c r="B184" s="153"/>
      <c r="C184" s="153"/>
      <c r="D184" s="153"/>
      <c r="E184" s="120" t="s">
        <v>704</v>
      </c>
      <c r="F184" s="123"/>
      <c r="G184" s="123"/>
      <c r="H184" s="123" t="s">
        <v>685</v>
      </c>
      <c r="I184" s="123" t="s">
        <v>356</v>
      </c>
      <c r="J184" s="123"/>
      <c r="K184" s="123"/>
      <c r="L184" s="123" t="s">
        <v>357</v>
      </c>
      <c r="M184" s="123"/>
      <c r="N184" s="123"/>
      <c r="O184" s="123"/>
      <c r="P184" s="123"/>
      <c r="Q184" s="123"/>
      <c r="R184" s="123"/>
      <c r="S184" s="18"/>
      <c r="T184" s="18"/>
      <c r="U184" s="18"/>
      <c r="V184" s="18"/>
      <c r="W184" s="18"/>
    </row>
    <row r="185" spans="1:23" x14ac:dyDescent="0.3">
      <c r="A185" s="152" t="s">
        <v>697</v>
      </c>
      <c r="B185" s="152" t="s">
        <v>366</v>
      </c>
      <c r="C185" s="152" t="s">
        <v>350</v>
      </c>
      <c r="D185" s="152" t="s">
        <v>705</v>
      </c>
      <c r="E185" s="120" t="s">
        <v>706</v>
      </c>
      <c r="F185" s="123" t="s">
        <v>369</v>
      </c>
      <c r="G185" s="123" t="s">
        <v>33</v>
      </c>
      <c r="H185" s="123" t="s">
        <v>685</v>
      </c>
      <c r="I185" s="123" t="s">
        <v>356</v>
      </c>
      <c r="J185" s="123" t="s">
        <v>33</v>
      </c>
      <c r="K185" s="123" t="s">
        <v>33</v>
      </c>
      <c r="L185" s="123" t="s">
        <v>370</v>
      </c>
      <c r="M185" s="123" t="s">
        <v>33</v>
      </c>
      <c r="N185" s="123" t="s">
        <v>33</v>
      </c>
      <c r="O185" s="123">
        <v>64</v>
      </c>
      <c r="P185" s="123">
        <v>512</v>
      </c>
      <c r="Q185" s="123" t="s">
        <v>33</v>
      </c>
      <c r="R185" s="123" t="s">
        <v>33</v>
      </c>
      <c r="S185" s="18"/>
      <c r="T185" s="18"/>
      <c r="U185" s="18"/>
      <c r="V185" s="18"/>
      <c r="W185" s="18"/>
    </row>
    <row r="186" spans="1:23" x14ac:dyDescent="0.3">
      <c r="A186" s="153"/>
      <c r="B186" s="153"/>
      <c r="C186" s="153"/>
      <c r="D186" s="153"/>
      <c r="E186" s="120" t="s">
        <v>707</v>
      </c>
      <c r="F186" s="123"/>
      <c r="G186" s="123"/>
      <c r="H186" s="123" t="s">
        <v>685</v>
      </c>
      <c r="I186" s="123" t="s">
        <v>356</v>
      </c>
      <c r="J186" s="123"/>
      <c r="K186" s="123"/>
      <c r="L186" s="123" t="s">
        <v>357</v>
      </c>
      <c r="M186" s="123"/>
      <c r="N186" s="123"/>
      <c r="O186" s="123"/>
      <c r="P186" s="123"/>
      <c r="Q186" s="123"/>
      <c r="R186" s="123"/>
      <c r="S186" s="18"/>
      <c r="T186" s="18"/>
      <c r="U186" s="18"/>
      <c r="V186" s="18"/>
      <c r="W186" s="18"/>
    </row>
    <row r="187" spans="1:23" ht="60" x14ac:dyDescent="0.3">
      <c r="A187" s="152" t="s">
        <v>708</v>
      </c>
      <c r="B187" s="152" t="s">
        <v>427</v>
      </c>
      <c r="C187" s="152" t="s">
        <v>419</v>
      </c>
      <c r="D187" s="152" t="s">
        <v>709</v>
      </c>
      <c r="E187" s="120" t="s">
        <v>710</v>
      </c>
      <c r="F187" s="123" t="s">
        <v>422</v>
      </c>
      <c r="G187" s="123" t="s">
        <v>33</v>
      </c>
      <c r="H187" s="123" t="s">
        <v>685</v>
      </c>
      <c r="I187" s="123" t="s">
        <v>423</v>
      </c>
      <c r="J187" s="123" t="s">
        <v>33</v>
      </c>
      <c r="K187" s="123" t="s">
        <v>33</v>
      </c>
      <c r="M187" s="123" t="s">
        <v>33</v>
      </c>
      <c r="N187" s="123" t="s">
        <v>33</v>
      </c>
      <c r="O187" s="123">
        <v>32</v>
      </c>
      <c r="P187" s="123">
        <v>1024</v>
      </c>
      <c r="Q187" s="123" t="s">
        <v>33</v>
      </c>
      <c r="R187" s="95" t="s">
        <v>33</v>
      </c>
      <c r="S187" s="18"/>
      <c r="T187" s="18"/>
      <c r="U187" s="18"/>
      <c r="V187" s="18"/>
      <c r="W187" s="18"/>
    </row>
    <row r="188" spans="1:23" x14ac:dyDescent="0.3">
      <c r="A188" s="153"/>
      <c r="B188" s="153"/>
      <c r="C188" s="153"/>
      <c r="D188" s="153"/>
      <c r="E188" s="120" t="s">
        <v>711</v>
      </c>
      <c r="F188" s="123"/>
      <c r="G188" s="123"/>
      <c r="H188" s="123" t="s">
        <v>685</v>
      </c>
      <c r="I188" s="123" t="s">
        <v>356</v>
      </c>
      <c r="J188" s="123"/>
      <c r="K188" s="123"/>
      <c r="L188" s="96" t="s">
        <v>426</v>
      </c>
      <c r="M188" s="123"/>
      <c r="N188" s="123"/>
      <c r="O188" s="123"/>
      <c r="P188" s="123"/>
      <c r="Q188" s="123"/>
      <c r="R188" s="95"/>
      <c r="S188" s="18"/>
      <c r="T188" s="18"/>
      <c r="U188" s="18"/>
      <c r="V188" s="18"/>
      <c r="W188" s="18"/>
    </row>
    <row r="189" spans="1:23" ht="60" x14ac:dyDescent="0.3">
      <c r="A189" s="152" t="s">
        <v>708</v>
      </c>
      <c r="B189" s="152" t="s">
        <v>432</v>
      </c>
      <c r="C189" s="152" t="s">
        <v>419</v>
      </c>
      <c r="D189" s="152" t="s">
        <v>712</v>
      </c>
      <c r="E189" s="120" t="s">
        <v>713</v>
      </c>
      <c r="F189" s="123" t="s">
        <v>430</v>
      </c>
      <c r="G189" s="123" t="s">
        <v>33</v>
      </c>
      <c r="H189" s="123" t="s">
        <v>685</v>
      </c>
      <c r="I189" s="123" t="s">
        <v>423</v>
      </c>
      <c r="J189" s="123" t="s">
        <v>33</v>
      </c>
      <c r="K189" s="123" t="s">
        <v>33</v>
      </c>
      <c r="M189" s="123" t="s">
        <v>33</v>
      </c>
      <c r="N189" s="123" t="s">
        <v>33</v>
      </c>
      <c r="O189" s="123">
        <v>32</v>
      </c>
      <c r="P189" s="123">
        <v>1024</v>
      </c>
      <c r="Q189" s="123" t="s">
        <v>33</v>
      </c>
      <c r="R189" s="123" t="s">
        <v>33</v>
      </c>
      <c r="S189" s="18"/>
      <c r="T189" s="18"/>
      <c r="U189" s="18"/>
      <c r="V189" s="18"/>
      <c r="W189" s="18"/>
    </row>
    <row r="190" spans="1:23" x14ac:dyDescent="0.3">
      <c r="A190" s="153"/>
      <c r="B190" s="153"/>
      <c r="C190" s="153"/>
      <c r="D190" s="153"/>
      <c r="E190" s="120" t="s">
        <v>714</v>
      </c>
      <c r="F190" s="123"/>
      <c r="G190" s="123"/>
      <c r="H190" s="123" t="s">
        <v>685</v>
      </c>
      <c r="I190" s="123" t="s">
        <v>356</v>
      </c>
      <c r="J190" s="123"/>
      <c r="K190" s="123"/>
      <c r="L190" s="96" t="s">
        <v>426</v>
      </c>
      <c r="M190" s="123"/>
      <c r="N190" s="123"/>
      <c r="O190" s="123"/>
      <c r="P190" s="123"/>
      <c r="Q190" s="123"/>
      <c r="R190" s="123"/>
      <c r="S190" s="18"/>
      <c r="T190" s="18"/>
      <c r="U190" s="18"/>
      <c r="V190" s="18"/>
      <c r="W190" s="18"/>
    </row>
    <row r="191" spans="1:23" ht="60" x14ac:dyDescent="0.3">
      <c r="A191" s="152" t="s">
        <v>708</v>
      </c>
      <c r="B191" s="152" t="s">
        <v>436</v>
      </c>
      <c r="C191" s="152" t="s">
        <v>419</v>
      </c>
      <c r="D191" s="152" t="s">
        <v>715</v>
      </c>
      <c r="E191" s="120" t="s">
        <v>716</v>
      </c>
      <c r="F191" s="123" t="s">
        <v>430</v>
      </c>
      <c r="G191" s="123" t="s">
        <v>33</v>
      </c>
      <c r="H191" s="123" t="s">
        <v>685</v>
      </c>
      <c r="I191" s="123" t="s">
        <v>423</v>
      </c>
      <c r="J191" s="123" t="s">
        <v>33</v>
      </c>
      <c r="K191" s="123" t="s">
        <v>33</v>
      </c>
      <c r="M191" s="123" t="s">
        <v>33</v>
      </c>
      <c r="N191" s="123" t="s">
        <v>33</v>
      </c>
      <c r="O191" s="123">
        <v>32</v>
      </c>
      <c r="P191" s="123">
        <v>1024</v>
      </c>
      <c r="Q191" s="123" t="s">
        <v>33</v>
      </c>
      <c r="R191" s="123" t="s">
        <v>33</v>
      </c>
      <c r="S191" s="18"/>
      <c r="T191" s="18"/>
      <c r="U191" s="18"/>
      <c r="V191" s="18"/>
      <c r="W191" s="18"/>
    </row>
    <row r="192" spans="1:23" x14ac:dyDescent="0.3">
      <c r="A192" s="153"/>
      <c r="B192" s="153"/>
      <c r="C192" s="153"/>
      <c r="D192" s="153"/>
      <c r="E192" s="120" t="s">
        <v>717</v>
      </c>
      <c r="F192" s="123"/>
      <c r="G192" s="123"/>
      <c r="H192" s="123" t="s">
        <v>685</v>
      </c>
      <c r="I192" s="123" t="s">
        <v>356</v>
      </c>
      <c r="J192" s="123"/>
      <c r="K192" s="123"/>
      <c r="L192" s="96" t="s">
        <v>426</v>
      </c>
      <c r="M192" s="123"/>
      <c r="N192" s="123"/>
      <c r="O192" s="123"/>
      <c r="P192" s="123"/>
      <c r="Q192" s="123"/>
      <c r="R192" s="123"/>
      <c r="S192" s="18"/>
      <c r="T192" s="18"/>
      <c r="U192" s="18"/>
      <c r="V192" s="18"/>
      <c r="W192" s="18"/>
    </row>
    <row r="193" spans="1:23" ht="60" x14ac:dyDescent="0.3">
      <c r="A193" s="152" t="s">
        <v>708</v>
      </c>
      <c r="B193" s="152" t="s">
        <v>440</v>
      </c>
      <c r="C193" s="152" t="s">
        <v>419</v>
      </c>
      <c r="D193" s="152" t="s">
        <v>718</v>
      </c>
      <c r="E193" s="120" t="s">
        <v>719</v>
      </c>
      <c r="F193" s="123" t="s">
        <v>430</v>
      </c>
      <c r="G193" s="123" t="s">
        <v>33</v>
      </c>
      <c r="H193" s="123" t="s">
        <v>685</v>
      </c>
      <c r="I193" s="123" t="s">
        <v>423</v>
      </c>
      <c r="J193" s="123" t="s">
        <v>33</v>
      </c>
      <c r="K193" s="123" t="s">
        <v>33</v>
      </c>
      <c r="M193" s="123" t="s">
        <v>33</v>
      </c>
      <c r="N193" s="123" t="s">
        <v>33</v>
      </c>
      <c r="O193" s="123">
        <v>32</v>
      </c>
      <c r="P193" s="123">
        <v>1024</v>
      </c>
      <c r="Q193" s="123" t="s">
        <v>33</v>
      </c>
      <c r="R193" s="123" t="s">
        <v>33</v>
      </c>
      <c r="S193" s="18"/>
      <c r="T193" s="18"/>
      <c r="U193" s="18"/>
      <c r="V193" s="18"/>
      <c r="W193" s="18"/>
    </row>
    <row r="194" spans="1:23" x14ac:dyDescent="0.3">
      <c r="A194" s="153"/>
      <c r="B194" s="153"/>
      <c r="C194" s="153"/>
      <c r="D194" s="153"/>
      <c r="E194" s="120" t="s">
        <v>720</v>
      </c>
      <c r="F194" s="123"/>
      <c r="G194" s="123"/>
      <c r="H194" s="123" t="s">
        <v>685</v>
      </c>
      <c r="I194" s="123" t="s">
        <v>356</v>
      </c>
      <c r="J194" s="123"/>
      <c r="K194" s="123"/>
      <c r="L194" s="96" t="s">
        <v>426</v>
      </c>
      <c r="M194" s="123"/>
      <c r="N194" s="123"/>
      <c r="O194" s="123"/>
      <c r="P194" s="123"/>
      <c r="Q194" s="123"/>
      <c r="R194" s="123"/>
      <c r="S194" s="18"/>
      <c r="T194" s="18"/>
      <c r="U194" s="18"/>
      <c r="V194" s="18"/>
      <c r="W194" s="18"/>
    </row>
    <row r="195" spans="1:23" ht="60" x14ac:dyDescent="0.3">
      <c r="A195" s="152" t="s">
        <v>708</v>
      </c>
      <c r="B195" s="152" t="s">
        <v>444</v>
      </c>
      <c r="C195" s="152" t="s">
        <v>419</v>
      </c>
      <c r="D195" s="152" t="s">
        <v>721</v>
      </c>
      <c r="E195" s="120" t="s">
        <v>722</v>
      </c>
      <c r="F195" s="123" t="s">
        <v>430</v>
      </c>
      <c r="G195" s="123" t="s">
        <v>33</v>
      </c>
      <c r="H195" s="123" t="s">
        <v>685</v>
      </c>
      <c r="I195" s="123" t="s">
        <v>423</v>
      </c>
      <c r="J195" s="123" t="s">
        <v>33</v>
      </c>
      <c r="K195" s="123" t="s">
        <v>33</v>
      </c>
      <c r="M195" s="123" t="s">
        <v>33</v>
      </c>
      <c r="N195" s="123" t="s">
        <v>33</v>
      </c>
      <c r="O195" s="123">
        <v>32</v>
      </c>
      <c r="P195" s="123">
        <v>1024</v>
      </c>
      <c r="Q195" s="123" t="s">
        <v>33</v>
      </c>
      <c r="R195" s="123" t="s">
        <v>33</v>
      </c>
      <c r="S195" s="18"/>
      <c r="T195" s="18"/>
      <c r="U195" s="18"/>
      <c r="V195" s="18"/>
      <c r="W195" s="18"/>
    </row>
    <row r="196" spans="1:23" x14ac:dyDescent="0.3">
      <c r="A196" s="153"/>
      <c r="B196" s="153"/>
      <c r="C196" s="153"/>
      <c r="D196" s="153"/>
      <c r="E196" s="120" t="s">
        <v>723</v>
      </c>
      <c r="F196" s="123"/>
      <c r="G196" s="123"/>
      <c r="H196" s="123" t="s">
        <v>685</v>
      </c>
      <c r="I196" s="123" t="s">
        <v>356</v>
      </c>
      <c r="J196" s="123"/>
      <c r="K196" s="123"/>
      <c r="L196" s="96" t="s">
        <v>426</v>
      </c>
      <c r="M196" s="123"/>
      <c r="N196" s="123"/>
      <c r="O196" s="123"/>
      <c r="P196" s="123"/>
      <c r="Q196" s="123"/>
      <c r="R196" s="123"/>
      <c r="S196" s="18"/>
      <c r="T196" s="18"/>
      <c r="U196" s="18"/>
      <c r="V196" s="18"/>
      <c r="W196" s="18"/>
    </row>
    <row r="197" spans="1:23" ht="60" x14ac:dyDescent="0.3">
      <c r="A197" s="152" t="s">
        <v>724</v>
      </c>
      <c r="B197" s="152" t="s">
        <v>427</v>
      </c>
      <c r="C197" s="152" t="s">
        <v>419</v>
      </c>
      <c r="D197" s="152" t="s">
        <v>725</v>
      </c>
      <c r="E197" s="120" t="s">
        <v>726</v>
      </c>
      <c r="F197" s="123" t="s">
        <v>430</v>
      </c>
      <c r="G197" s="123" t="s">
        <v>33</v>
      </c>
      <c r="H197" s="123" t="s">
        <v>685</v>
      </c>
      <c r="I197" s="123" t="s">
        <v>423</v>
      </c>
      <c r="J197" s="123" t="s">
        <v>33</v>
      </c>
      <c r="K197" s="123" t="s">
        <v>33</v>
      </c>
      <c r="M197" s="123" t="s">
        <v>33</v>
      </c>
      <c r="N197" s="123" t="s">
        <v>33</v>
      </c>
      <c r="O197" s="123">
        <v>32</v>
      </c>
      <c r="P197" s="123">
        <v>1024</v>
      </c>
      <c r="Q197" s="123" t="s">
        <v>33</v>
      </c>
      <c r="R197" s="123" t="s">
        <v>33</v>
      </c>
      <c r="S197" s="18"/>
      <c r="T197" s="18"/>
      <c r="U197" s="18"/>
      <c r="V197" s="18"/>
      <c r="W197" s="18"/>
    </row>
    <row r="198" spans="1:23" x14ac:dyDescent="0.3">
      <c r="A198" s="153"/>
      <c r="B198" s="153"/>
      <c r="C198" s="153"/>
      <c r="D198" s="153"/>
      <c r="E198" s="120" t="s">
        <v>727</v>
      </c>
      <c r="F198" s="123"/>
      <c r="G198" s="123"/>
      <c r="H198" s="123" t="s">
        <v>685</v>
      </c>
      <c r="I198" s="123" t="s">
        <v>356</v>
      </c>
      <c r="J198" s="123"/>
      <c r="K198" s="123"/>
      <c r="L198" s="96" t="s">
        <v>426</v>
      </c>
      <c r="M198" s="123"/>
      <c r="N198" s="123"/>
      <c r="O198" s="123"/>
      <c r="P198" s="123"/>
      <c r="Q198" s="123"/>
      <c r="R198" s="123"/>
      <c r="S198" s="18"/>
      <c r="T198" s="18"/>
      <c r="U198" s="18"/>
      <c r="V198" s="18"/>
      <c r="W198" s="18"/>
    </row>
    <row r="199" spans="1:23" ht="60" x14ac:dyDescent="0.3">
      <c r="A199" s="152" t="s">
        <v>724</v>
      </c>
      <c r="B199" s="152" t="s">
        <v>432</v>
      </c>
      <c r="C199" s="152" t="s">
        <v>419</v>
      </c>
      <c r="D199" s="152" t="s">
        <v>728</v>
      </c>
      <c r="E199" s="120" t="s">
        <v>729</v>
      </c>
      <c r="F199" s="123" t="s">
        <v>430</v>
      </c>
      <c r="G199" s="123" t="s">
        <v>33</v>
      </c>
      <c r="H199" s="123" t="s">
        <v>685</v>
      </c>
      <c r="I199" s="123" t="s">
        <v>423</v>
      </c>
      <c r="J199" s="123" t="s">
        <v>33</v>
      </c>
      <c r="K199" s="123" t="s">
        <v>33</v>
      </c>
      <c r="M199" s="123" t="s">
        <v>33</v>
      </c>
      <c r="N199" s="123" t="s">
        <v>33</v>
      </c>
      <c r="O199" s="123">
        <v>32</v>
      </c>
      <c r="P199" s="123">
        <v>1024</v>
      </c>
      <c r="Q199" s="123" t="s">
        <v>33</v>
      </c>
      <c r="R199" s="123" t="s">
        <v>33</v>
      </c>
      <c r="S199" s="18"/>
      <c r="T199" s="18"/>
      <c r="U199" s="18"/>
      <c r="V199" s="18"/>
      <c r="W199" s="18"/>
    </row>
    <row r="200" spans="1:23" x14ac:dyDescent="0.3">
      <c r="A200" s="153"/>
      <c r="B200" s="153"/>
      <c r="C200" s="153"/>
      <c r="D200" s="153"/>
      <c r="E200" s="120" t="s">
        <v>730</v>
      </c>
      <c r="F200" s="123"/>
      <c r="G200" s="123"/>
      <c r="H200" s="123" t="s">
        <v>685</v>
      </c>
      <c r="I200" s="123" t="s">
        <v>356</v>
      </c>
      <c r="J200" s="123"/>
      <c r="K200" s="123"/>
      <c r="L200" s="96" t="s">
        <v>426</v>
      </c>
      <c r="M200" s="123"/>
      <c r="N200" s="123"/>
      <c r="O200" s="123"/>
      <c r="P200" s="123"/>
      <c r="Q200" s="123"/>
      <c r="R200" s="123"/>
      <c r="S200" s="18"/>
      <c r="T200" s="18"/>
      <c r="U200" s="18"/>
      <c r="V200" s="18"/>
      <c r="W200" s="18"/>
    </row>
    <row r="201" spans="1:23" ht="60" x14ac:dyDescent="0.3">
      <c r="A201" s="152" t="s">
        <v>724</v>
      </c>
      <c r="B201" s="152" t="s">
        <v>436</v>
      </c>
      <c r="C201" s="152" t="s">
        <v>419</v>
      </c>
      <c r="D201" s="152" t="s">
        <v>731</v>
      </c>
      <c r="E201" s="120" t="s">
        <v>732</v>
      </c>
      <c r="F201" s="123" t="s">
        <v>430</v>
      </c>
      <c r="G201" s="123" t="s">
        <v>33</v>
      </c>
      <c r="H201" s="123" t="s">
        <v>685</v>
      </c>
      <c r="I201" s="123" t="s">
        <v>423</v>
      </c>
      <c r="J201" s="123" t="s">
        <v>33</v>
      </c>
      <c r="K201" s="123" t="s">
        <v>33</v>
      </c>
      <c r="M201" s="123" t="s">
        <v>33</v>
      </c>
      <c r="N201" s="123" t="s">
        <v>33</v>
      </c>
      <c r="O201" s="123">
        <v>32</v>
      </c>
      <c r="P201" s="123">
        <v>1024</v>
      </c>
      <c r="Q201" s="123" t="s">
        <v>33</v>
      </c>
      <c r="R201" s="123" t="s">
        <v>33</v>
      </c>
      <c r="S201" s="18"/>
      <c r="T201" s="18"/>
      <c r="U201" s="18"/>
      <c r="V201" s="18"/>
      <c r="W201" s="18"/>
    </row>
    <row r="202" spans="1:23" x14ac:dyDescent="0.3">
      <c r="A202" s="153"/>
      <c r="B202" s="153"/>
      <c r="C202" s="153"/>
      <c r="D202" s="153"/>
      <c r="E202" s="120" t="s">
        <v>733</v>
      </c>
      <c r="F202" s="123"/>
      <c r="G202" s="123"/>
      <c r="H202" s="123" t="s">
        <v>685</v>
      </c>
      <c r="I202" s="123" t="s">
        <v>356</v>
      </c>
      <c r="J202" s="123"/>
      <c r="K202" s="123"/>
      <c r="L202" s="96" t="s">
        <v>426</v>
      </c>
      <c r="M202" s="123"/>
      <c r="N202" s="123"/>
      <c r="O202" s="123"/>
      <c r="P202" s="123"/>
      <c r="Q202" s="123"/>
      <c r="R202" s="123"/>
      <c r="S202" s="18"/>
      <c r="T202" s="18"/>
      <c r="U202" s="18"/>
      <c r="V202" s="18"/>
      <c r="W202" s="18"/>
    </row>
    <row r="203" spans="1:23" ht="60" x14ac:dyDescent="0.3">
      <c r="A203" s="152" t="s">
        <v>724</v>
      </c>
      <c r="B203" s="152" t="s">
        <v>440</v>
      </c>
      <c r="C203" s="152" t="s">
        <v>419</v>
      </c>
      <c r="D203" s="152" t="s">
        <v>734</v>
      </c>
      <c r="E203" s="120" t="s">
        <v>735</v>
      </c>
      <c r="F203" s="123" t="s">
        <v>430</v>
      </c>
      <c r="G203" s="123" t="s">
        <v>33</v>
      </c>
      <c r="H203" s="123" t="s">
        <v>685</v>
      </c>
      <c r="I203" s="123" t="s">
        <v>423</v>
      </c>
      <c r="J203" s="123" t="s">
        <v>33</v>
      </c>
      <c r="K203" s="123" t="s">
        <v>33</v>
      </c>
      <c r="M203" s="123" t="s">
        <v>33</v>
      </c>
      <c r="N203" s="123" t="s">
        <v>33</v>
      </c>
      <c r="O203" s="123">
        <v>32</v>
      </c>
      <c r="P203" s="123">
        <v>1024</v>
      </c>
      <c r="Q203" s="123" t="s">
        <v>33</v>
      </c>
      <c r="R203" s="123" t="s">
        <v>33</v>
      </c>
      <c r="S203" s="18"/>
      <c r="T203" s="18"/>
      <c r="U203" s="18"/>
      <c r="V203" s="18"/>
      <c r="W203" s="18"/>
    </row>
    <row r="204" spans="1:23" x14ac:dyDescent="0.3">
      <c r="A204" s="153"/>
      <c r="B204" s="153"/>
      <c r="C204" s="153"/>
      <c r="D204" s="153"/>
      <c r="E204" s="120" t="s">
        <v>736</v>
      </c>
      <c r="F204" s="123"/>
      <c r="G204" s="123"/>
      <c r="H204" s="123" t="s">
        <v>685</v>
      </c>
      <c r="I204" s="123" t="s">
        <v>356</v>
      </c>
      <c r="J204" s="123"/>
      <c r="K204" s="123"/>
      <c r="L204" s="96" t="s">
        <v>426</v>
      </c>
      <c r="M204" s="123"/>
      <c r="N204" s="123"/>
      <c r="O204" s="123"/>
      <c r="P204" s="123"/>
      <c r="Q204" s="123"/>
      <c r="R204" s="123"/>
      <c r="S204" s="18"/>
      <c r="T204" s="18"/>
      <c r="U204" s="18"/>
      <c r="V204" s="18"/>
      <c r="W204" s="18"/>
    </row>
    <row r="205" spans="1:23" ht="60" x14ac:dyDescent="0.3">
      <c r="A205" s="152" t="s">
        <v>724</v>
      </c>
      <c r="B205" s="152" t="s">
        <v>444</v>
      </c>
      <c r="C205" s="152" t="s">
        <v>419</v>
      </c>
      <c r="D205" s="152" t="s">
        <v>737</v>
      </c>
      <c r="E205" s="120" t="s">
        <v>738</v>
      </c>
      <c r="F205" s="123" t="s">
        <v>430</v>
      </c>
      <c r="G205" s="123" t="s">
        <v>33</v>
      </c>
      <c r="H205" s="123" t="s">
        <v>685</v>
      </c>
      <c r="I205" s="123" t="s">
        <v>423</v>
      </c>
      <c r="J205" s="123" t="s">
        <v>33</v>
      </c>
      <c r="K205" s="123" t="s">
        <v>33</v>
      </c>
      <c r="M205" s="123" t="s">
        <v>33</v>
      </c>
      <c r="N205" s="123" t="s">
        <v>33</v>
      </c>
      <c r="O205" s="123">
        <v>32</v>
      </c>
      <c r="P205" s="123">
        <v>1024</v>
      </c>
      <c r="Q205" s="123" t="s">
        <v>33</v>
      </c>
      <c r="R205" s="123" t="s">
        <v>33</v>
      </c>
      <c r="S205" s="18"/>
      <c r="T205" s="18"/>
      <c r="U205" s="18"/>
      <c r="V205" s="18"/>
      <c r="W205" s="18"/>
    </row>
    <row r="206" spans="1:23" x14ac:dyDescent="0.3">
      <c r="A206" s="153"/>
      <c r="B206" s="153"/>
      <c r="C206" s="153"/>
      <c r="D206" s="153"/>
      <c r="E206" s="120" t="s">
        <v>739</v>
      </c>
      <c r="F206" s="123"/>
      <c r="G206" s="123"/>
      <c r="H206" s="123" t="s">
        <v>685</v>
      </c>
      <c r="I206" s="123" t="s">
        <v>356</v>
      </c>
      <c r="J206" s="123"/>
      <c r="K206" s="123"/>
      <c r="L206" s="96" t="s">
        <v>426</v>
      </c>
      <c r="M206" s="123"/>
      <c r="N206" s="123"/>
      <c r="O206" s="123"/>
      <c r="P206" s="123"/>
      <c r="Q206" s="123"/>
      <c r="R206" s="123"/>
      <c r="S206" s="18"/>
      <c r="T206" s="18"/>
      <c r="U206" s="18"/>
      <c r="V206" s="18"/>
      <c r="W206" s="18"/>
    </row>
    <row r="207" spans="1:23" x14ac:dyDescent="0.3">
      <c r="A207" s="152" t="s">
        <v>740</v>
      </c>
      <c r="B207" s="152" t="s">
        <v>427</v>
      </c>
      <c r="C207" s="152" t="s">
        <v>419</v>
      </c>
      <c r="D207" s="152" t="s">
        <v>741</v>
      </c>
      <c r="E207" s="120" t="s">
        <v>742</v>
      </c>
      <c r="F207" s="123" t="s">
        <v>369</v>
      </c>
      <c r="G207" s="123" t="s">
        <v>33</v>
      </c>
      <c r="H207" s="123" t="s">
        <v>685</v>
      </c>
      <c r="I207" s="123" t="s">
        <v>356</v>
      </c>
      <c r="J207" s="123" t="s">
        <v>33</v>
      </c>
      <c r="K207" s="123" t="s">
        <v>33</v>
      </c>
      <c r="L207" s="123" t="s">
        <v>370</v>
      </c>
      <c r="M207" s="123" t="s">
        <v>33</v>
      </c>
      <c r="N207" s="123" t="s">
        <v>33</v>
      </c>
      <c r="O207" s="123">
        <v>28</v>
      </c>
      <c r="P207" s="123">
        <v>1024</v>
      </c>
      <c r="Q207" s="123" t="s">
        <v>33</v>
      </c>
      <c r="R207" s="123" t="s">
        <v>33</v>
      </c>
      <c r="S207" s="18"/>
      <c r="T207" s="18"/>
      <c r="U207" s="18"/>
      <c r="V207" s="18"/>
      <c r="W207" s="18"/>
    </row>
    <row r="208" spans="1:23" x14ac:dyDescent="0.3">
      <c r="A208" s="153"/>
      <c r="B208" s="153"/>
      <c r="C208" s="153"/>
      <c r="D208" s="153"/>
      <c r="E208" s="120" t="s">
        <v>743</v>
      </c>
      <c r="F208" s="123"/>
      <c r="G208" s="123"/>
      <c r="H208" s="123"/>
      <c r="I208" s="123"/>
      <c r="J208" s="123"/>
      <c r="K208" s="123"/>
      <c r="L208" s="96" t="s">
        <v>426</v>
      </c>
      <c r="M208" s="123"/>
      <c r="N208" s="123"/>
      <c r="O208" s="123"/>
      <c r="P208" s="123"/>
      <c r="Q208" s="123"/>
      <c r="R208" s="123"/>
      <c r="S208" s="18"/>
      <c r="T208" s="18"/>
      <c r="U208" s="18"/>
      <c r="V208" s="18"/>
      <c r="W208" s="18"/>
    </row>
    <row r="209" spans="1:23" x14ac:dyDescent="0.3">
      <c r="A209" s="152" t="s">
        <v>740</v>
      </c>
      <c r="B209" s="152" t="s">
        <v>432</v>
      </c>
      <c r="C209" s="152" t="s">
        <v>419</v>
      </c>
      <c r="D209" s="152" t="s">
        <v>744</v>
      </c>
      <c r="E209" s="120" t="s">
        <v>745</v>
      </c>
      <c r="F209" s="123" t="s">
        <v>369</v>
      </c>
      <c r="G209" s="123" t="s">
        <v>33</v>
      </c>
      <c r="H209" s="123" t="s">
        <v>685</v>
      </c>
      <c r="I209" s="123" t="s">
        <v>356</v>
      </c>
      <c r="J209" s="123" t="s">
        <v>33</v>
      </c>
      <c r="K209" s="123" t="s">
        <v>33</v>
      </c>
      <c r="L209" s="123" t="s">
        <v>370</v>
      </c>
      <c r="M209" s="123" t="s">
        <v>33</v>
      </c>
      <c r="N209" s="123" t="s">
        <v>33</v>
      </c>
      <c r="O209" s="123">
        <v>28</v>
      </c>
      <c r="P209" s="123">
        <v>1024</v>
      </c>
      <c r="Q209" s="123" t="s">
        <v>33</v>
      </c>
      <c r="R209" s="123" t="s">
        <v>33</v>
      </c>
      <c r="S209" s="18"/>
      <c r="T209" s="18"/>
      <c r="U209" s="18"/>
      <c r="V209" s="18"/>
      <c r="W209" s="18"/>
    </row>
    <row r="210" spans="1:23" x14ac:dyDescent="0.3">
      <c r="A210" s="153"/>
      <c r="B210" s="153"/>
      <c r="C210" s="153"/>
      <c r="D210" s="153"/>
      <c r="E210" s="120" t="s">
        <v>746</v>
      </c>
      <c r="F210" s="123"/>
      <c r="G210" s="123"/>
      <c r="H210" s="123"/>
      <c r="I210" s="123"/>
      <c r="J210" s="123"/>
      <c r="K210" s="123"/>
      <c r="L210" s="96" t="s">
        <v>426</v>
      </c>
      <c r="M210" s="123"/>
      <c r="N210" s="123"/>
      <c r="O210" s="123"/>
      <c r="P210" s="123"/>
      <c r="Q210" s="123"/>
      <c r="R210" s="123"/>
      <c r="S210" s="18"/>
      <c r="T210" s="18"/>
      <c r="U210" s="18"/>
      <c r="V210" s="18"/>
      <c r="W210" s="18"/>
    </row>
    <row r="211" spans="1:23" x14ac:dyDescent="0.3">
      <c r="A211" s="152" t="s">
        <v>740</v>
      </c>
      <c r="B211" s="152" t="s">
        <v>436</v>
      </c>
      <c r="C211" s="152" t="s">
        <v>419</v>
      </c>
      <c r="D211" s="152" t="s">
        <v>747</v>
      </c>
      <c r="E211" s="120" t="s">
        <v>748</v>
      </c>
      <c r="F211" s="123" t="s">
        <v>369</v>
      </c>
      <c r="G211" s="123" t="s">
        <v>33</v>
      </c>
      <c r="H211" s="123" t="s">
        <v>685</v>
      </c>
      <c r="I211" s="123" t="s">
        <v>356</v>
      </c>
      <c r="J211" s="123" t="s">
        <v>33</v>
      </c>
      <c r="K211" s="123" t="s">
        <v>33</v>
      </c>
      <c r="L211" s="123" t="s">
        <v>370</v>
      </c>
      <c r="M211" s="123" t="s">
        <v>33</v>
      </c>
      <c r="N211" s="123" t="s">
        <v>33</v>
      </c>
      <c r="O211" s="123">
        <v>28</v>
      </c>
      <c r="P211" s="123">
        <v>1024</v>
      </c>
      <c r="Q211" s="123" t="s">
        <v>33</v>
      </c>
      <c r="R211" s="123" t="s">
        <v>33</v>
      </c>
      <c r="S211" s="18"/>
      <c r="T211" s="18"/>
      <c r="U211" s="18"/>
      <c r="V211" s="18"/>
      <c r="W211" s="18"/>
    </row>
    <row r="212" spans="1:23" x14ac:dyDescent="0.3">
      <c r="A212" s="153"/>
      <c r="B212" s="153"/>
      <c r="C212" s="153"/>
      <c r="D212" s="153"/>
      <c r="E212" s="120" t="s">
        <v>749</v>
      </c>
      <c r="F212" s="123"/>
      <c r="G212" s="123"/>
      <c r="H212" s="123"/>
      <c r="I212" s="123"/>
      <c r="J212" s="123"/>
      <c r="K212" s="123"/>
      <c r="L212" s="96" t="s">
        <v>426</v>
      </c>
      <c r="M212" s="123"/>
      <c r="N212" s="123"/>
      <c r="O212" s="123"/>
      <c r="P212" s="123"/>
      <c r="Q212" s="123"/>
      <c r="R212" s="123"/>
      <c r="S212" s="18"/>
      <c r="T212" s="18"/>
      <c r="U212" s="18"/>
      <c r="V212" s="18"/>
      <c r="W212" s="18"/>
    </row>
    <row r="213" spans="1:23" x14ac:dyDescent="0.3">
      <c r="A213" s="152" t="s">
        <v>740</v>
      </c>
      <c r="B213" s="152" t="s">
        <v>440</v>
      </c>
      <c r="C213" s="152" t="s">
        <v>419</v>
      </c>
      <c r="D213" s="152" t="s">
        <v>750</v>
      </c>
      <c r="E213" s="120" t="s">
        <v>751</v>
      </c>
      <c r="F213" s="123" t="s">
        <v>369</v>
      </c>
      <c r="G213" s="123" t="s">
        <v>33</v>
      </c>
      <c r="H213" s="123" t="s">
        <v>685</v>
      </c>
      <c r="I213" s="123" t="s">
        <v>356</v>
      </c>
      <c r="J213" s="123" t="s">
        <v>33</v>
      </c>
      <c r="K213" s="123" t="s">
        <v>33</v>
      </c>
      <c r="L213" s="123" t="s">
        <v>370</v>
      </c>
      <c r="M213" s="123" t="s">
        <v>33</v>
      </c>
      <c r="N213" s="123" t="s">
        <v>33</v>
      </c>
      <c r="O213" s="123">
        <v>28</v>
      </c>
      <c r="P213" s="123">
        <v>1024</v>
      </c>
      <c r="Q213" s="123" t="s">
        <v>33</v>
      </c>
      <c r="R213" s="123" t="s">
        <v>33</v>
      </c>
      <c r="S213" s="18"/>
      <c r="T213" s="18"/>
      <c r="U213" s="18"/>
      <c r="V213" s="18"/>
      <c r="W213" s="18"/>
    </row>
    <row r="214" spans="1:23" x14ac:dyDescent="0.3">
      <c r="A214" s="153"/>
      <c r="B214" s="153"/>
      <c r="C214" s="153"/>
      <c r="D214" s="153"/>
      <c r="E214" s="120" t="s">
        <v>752</v>
      </c>
      <c r="F214" s="123"/>
      <c r="G214" s="123"/>
      <c r="H214" s="123"/>
      <c r="I214" s="123"/>
      <c r="J214" s="123"/>
      <c r="K214" s="123"/>
      <c r="L214" s="96" t="s">
        <v>426</v>
      </c>
      <c r="M214" s="123"/>
      <c r="N214" s="123"/>
      <c r="O214" s="123"/>
      <c r="P214" s="123"/>
      <c r="Q214" s="123"/>
      <c r="R214" s="123"/>
      <c r="S214" s="18"/>
      <c r="T214" s="18"/>
      <c r="U214" s="18"/>
      <c r="V214" s="18"/>
      <c r="W214" s="18"/>
    </row>
    <row r="215" spans="1:23" x14ac:dyDescent="0.3">
      <c r="A215" s="152" t="s">
        <v>740</v>
      </c>
      <c r="B215" s="152" t="s">
        <v>444</v>
      </c>
      <c r="C215" s="152" t="s">
        <v>419</v>
      </c>
      <c r="D215" s="152" t="s">
        <v>753</v>
      </c>
      <c r="E215" s="120" t="s">
        <v>754</v>
      </c>
      <c r="F215" s="123" t="s">
        <v>369</v>
      </c>
      <c r="G215" s="123" t="s">
        <v>33</v>
      </c>
      <c r="H215" s="123" t="s">
        <v>685</v>
      </c>
      <c r="I215" s="123" t="s">
        <v>356</v>
      </c>
      <c r="J215" s="123" t="s">
        <v>33</v>
      </c>
      <c r="K215" s="123" t="s">
        <v>33</v>
      </c>
      <c r="L215" s="123" t="s">
        <v>370</v>
      </c>
      <c r="M215" s="123" t="s">
        <v>33</v>
      </c>
      <c r="N215" s="123" t="s">
        <v>33</v>
      </c>
      <c r="O215" s="123">
        <v>28</v>
      </c>
      <c r="P215" s="123">
        <v>1024</v>
      </c>
      <c r="Q215" s="123" t="s">
        <v>33</v>
      </c>
      <c r="R215" s="123" t="s">
        <v>33</v>
      </c>
      <c r="S215" s="18"/>
      <c r="T215" s="18"/>
      <c r="U215" s="18"/>
      <c r="V215" s="18"/>
      <c r="W215" s="18"/>
    </row>
    <row r="216" spans="1:23" x14ac:dyDescent="0.3">
      <c r="A216" s="153"/>
      <c r="B216" s="153"/>
      <c r="C216" s="153"/>
      <c r="D216" s="153"/>
      <c r="E216" s="120" t="s">
        <v>755</v>
      </c>
      <c r="F216" s="123"/>
      <c r="G216" s="123"/>
      <c r="H216" s="123"/>
      <c r="I216" s="123"/>
      <c r="J216" s="123"/>
      <c r="K216" s="123"/>
      <c r="L216" s="96" t="s">
        <v>426</v>
      </c>
      <c r="M216" s="123"/>
      <c r="N216" s="123"/>
      <c r="O216" s="123"/>
      <c r="P216" s="123"/>
      <c r="Q216" s="123"/>
      <c r="R216" s="123"/>
      <c r="S216" s="18"/>
      <c r="T216" s="18"/>
      <c r="U216" s="18"/>
      <c r="V216" s="18"/>
      <c r="W216" s="18"/>
    </row>
    <row r="217" spans="1:23" x14ac:dyDescent="0.3">
      <c r="A217" s="152" t="s">
        <v>756</v>
      </c>
      <c r="B217" s="152" t="s">
        <v>427</v>
      </c>
      <c r="C217" s="152" t="s">
        <v>419</v>
      </c>
      <c r="D217" s="152" t="s">
        <v>757</v>
      </c>
      <c r="E217" s="120" t="s">
        <v>758</v>
      </c>
      <c r="F217" s="123" t="s">
        <v>369</v>
      </c>
      <c r="G217" s="123" t="s">
        <v>33</v>
      </c>
      <c r="H217" s="123" t="s">
        <v>685</v>
      </c>
      <c r="I217" s="123" t="s">
        <v>356</v>
      </c>
      <c r="J217" s="123" t="s">
        <v>33</v>
      </c>
      <c r="K217" s="123" t="s">
        <v>33</v>
      </c>
      <c r="L217" s="123" t="s">
        <v>370</v>
      </c>
      <c r="M217" s="123" t="s">
        <v>33</v>
      </c>
      <c r="N217" s="123" t="s">
        <v>33</v>
      </c>
      <c r="O217" s="123">
        <v>28</v>
      </c>
      <c r="P217" s="123">
        <v>1024</v>
      </c>
      <c r="Q217" s="123" t="s">
        <v>33</v>
      </c>
      <c r="R217" s="95" t="s">
        <v>33</v>
      </c>
      <c r="S217" s="18"/>
      <c r="T217" s="18"/>
      <c r="U217" s="18"/>
      <c r="V217" s="18"/>
      <c r="W217" s="18"/>
    </row>
    <row r="218" spans="1:23" x14ac:dyDescent="0.3">
      <c r="A218" s="153"/>
      <c r="B218" s="153"/>
      <c r="C218" s="153"/>
      <c r="D218" s="153"/>
      <c r="E218" s="120" t="s">
        <v>759</v>
      </c>
      <c r="F218" s="123"/>
      <c r="G218" s="123"/>
      <c r="H218" s="123"/>
      <c r="I218" s="123"/>
      <c r="J218" s="123"/>
      <c r="K218" s="123"/>
      <c r="L218" s="96" t="s">
        <v>426</v>
      </c>
      <c r="M218" s="123"/>
      <c r="N218" s="123"/>
      <c r="O218" s="123"/>
      <c r="P218" s="123"/>
      <c r="Q218" s="123"/>
      <c r="R218" s="95"/>
      <c r="S218" s="18"/>
      <c r="T218" s="18"/>
      <c r="U218" s="18"/>
      <c r="V218" s="18"/>
      <c r="W218" s="18"/>
    </row>
    <row r="219" spans="1:23" x14ac:dyDescent="0.3">
      <c r="A219" s="152" t="s">
        <v>756</v>
      </c>
      <c r="B219" s="152" t="s">
        <v>432</v>
      </c>
      <c r="C219" s="152" t="s">
        <v>419</v>
      </c>
      <c r="D219" s="152" t="s">
        <v>760</v>
      </c>
      <c r="E219" s="120" t="s">
        <v>761</v>
      </c>
      <c r="F219" s="123" t="s">
        <v>369</v>
      </c>
      <c r="G219" s="123" t="s">
        <v>33</v>
      </c>
      <c r="H219" s="123" t="s">
        <v>685</v>
      </c>
      <c r="I219" s="123" t="s">
        <v>356</v>
      </c>
      <c r="J219" s="123" t="s">
        <v>33</v>
      </c>
      <c r="K219" s="123" t="s">
        <v>33</v>
      </c>
      <c r="L219" s="123" t="s">
        <v>370</v>
      </c>
      <c r="M219" s="123" t="s">
        <v>33</v>
      </c>
      <c r="N219" s="123" t="s">
        <v>33</v>
      </c>
      <c r="O219" s="123">
        <v>28</v>
      </c>
      <c r="P219" s="123">
        <v>1024</v>
      </c>
      <c r="Q219" s="123" t="s">
        <v>33</v>
      </c>
      <c r="R219" s="123" t="s">
        <v>33</v>
      </c>
      <c r="S219" s="18"/>
      <c r="T219" s="18"/>
      <c r="U219" s="18"/>
      <c r="V219" s="18"/>
      <c r="W219" s="18"/>
    </row>
    <row r="220" spans="1:23" x14ac:dyDescent="0.3">
      <c r="A220" s="153"/>
      <c r="B220" s="153"/>
      <c r="C220" s="153"/>
      <c r="D220" s="153"/>
      <c r="E220" s="120" t="s">
        <v>762</v>
      </c>
      <c r="F220" s="123"/>
      <c r="G220" s="123"/>
      <c r="H220" s="123"/>
      <c r="I220" s="123"/>
      <c r="J220" s="123"/>
      <c r="K220" s="123"/>
      <c r="L220" s="96" t="s">
        <v>426</v>
      </c>
      <c r="M220" s="123"/>
      <c r="N220" s="123"/>
      <c r="O220" s="123"/>
      <c r="P220" s="123"/>
      <c r="Q220" s="123"/>
      <c r="R220" s="123"/>
      <c r="S220" s="18"/>
      <c r="T220" s="18"/>
      <c r="U220" s="18"/>
      <c r="V220" s="18"/>
      <c r="W220" s="18"/>
    </row>
    <row r="221" spans="1:23" x14ac:dyDescent="0.3">
      <c r="A221" s="152" t="s">
        <v>756</v>
      </c>
      <c r="B221" s="152" t="s">
        <v>436</v>
      </c>
      <c r="C221" s="152" t="s">
        <v>419</v>
      </c>
      <c r="D221" s="152" t="s">
        <v>763</v>
      </c>
      <c r="E221" s="120" t="s">
        <v>764</v>
      </c>
      <c r="F221" s="123" t="s">
        <v>369</v>
      </c>
      <c r="G221" s="123" t="s">
        <v>33</v>
      </c>
      <c r="H221" s="123" t="s">
        <v>685</v>
      </c>
      <c r="I221" s="123" t="s">
        <v>356</v>
      </c>
      <c r="J221" s="123" t="s">
        <v>33</v>
      </c>
      <c r="K221" s="123" t="s">
        <v>33</v>
      </c>
      <c r="L221" s="123" t="s">
        <v>765</v>
      </c>
      <c r="M221" s="123" t="s">
        <v>33</v>
      </c>
      <c r="N221" s="123" t="s">
        <v>33</v>
      </c>
      <c r="O221" s="123">
        <v>28</v>
      </c>
      <c r="P221" s="123">
        <v>1024</v>
      </c>
      <c r="Q221" s="123" t="s">
        <v>33</v>
      </c>
      <c r="R221" s="123" t="s">
        <v>33</v>
      </c>
      <c r="S221" s="18"/>
      <c r="T221" s="18"/>
      <c r="U221" s="18"/>
      <c r="V221" s="18"/>
      <c r="W221" s="18"/>
    </row>
    <row r="222" spans="1:23" x14ac:dyDescent="0.3">
      <c r="A222" s="153"/>
      <c r="B222" s="153"/>
      <c r="C222" s="153"/>
      <c r="D222" s="153"/>
      <c r="E222" s="120" t="s">
        <v>766</v>
      </c>
      <c r="F222" s="123"/>
      <c r="G222" s="123"/>
      <c r="H222" s="123"/>
      <c r="I222" s="123"/>
      <c r="J222" s="123"/>
      <c r="K222" s="123"/>
      <c r="L222" s="96" t="s">
        <v>767</v>
      </c>
      <c r="M222" s="123"/>
      <c r="N222" s="123"/>
      <c r="O222" s="123"/>
      <c r="P222" s="123"/>
      <c r="Q222" s="123"/>
      <c r="R222" s="123"/>
      <c r="S222" s="18"/>
      <c r="T222" s="18"/>
      <c r="U222" s="18"/>
      <c r="V222" s="18"/>
      <c r="W222" s="18"/>
    </row>
    <row r="223" spans="1:23" x14ac:dyDescent="0.3">
      <c r="A223" s="152" t="s">
        <v>756</v>
      </c>
      <c r="B223" s="152" t="s">
        <v>440</v>
      </c>
      <c r="C223" s="152" t="s">
        <v>419</v>
      </c>
      <c r="D223" s="152" t="s">
        <v>768</v>
      </c>
      <c r="E223" s="120" t="s">
        <v>769</v>
      </c>
      <c r="F223" s="123" t="s">
        <v>369</v>
      </c>
      <c r="G223" s="123" t="s">
        <v>33</v>
      </c>
      <c r="H223" s="123" t="s">
        <v>685</v>
      </c>
      <c r="I223" s="123" t="s">
        <v>356</v>
      </c>
      <c r="J223" s="123" t="s">
        <v>33</v>
      </c>
      <c r="K223" s="123" t="s">
        <v>33</v>
      </c>
      <c r="L223" s="123" t="s">
        <v>765</v>
      </c>
      <c r="M223" s="123" t="s">
        <v>33</v>
      </c>
      <c r="N223" s="123" t="s">
        <v>33</v>
      </c>
      <c r="O223" s="123">
        <v>28</v>
      </c>
      <c r="P223" s="123">
        <v>1024</v>
      </c>
      <c r="Q223" s="123" t="s">
        <v>33</v>
      </c>
      <c r="R223" s="123" t="s">
        <v>33</v>
      </c>
      <c r="S223" s="18"/>
      <c r="T223" s="18"/>
      <c r="U223" s="18"/>
      <c r="V223" s="18"/>
      <c r="W223" s="18"/>
    </row>
    <row r="224" spans="1:23" x14ac:dyDescent="0.3">
      <c r="A224" s="153"/>
      <c r="B224" s="153"/>
      <c r="C224" s="153"/>
      <c r="D224" s="153"/>
      <c r="E224" s="120" t="s">
        <v>770</v>
      </c>
      <c r="F224" s="123"/>
      <c r="G224" s="123"/>
      <c r="H224" s="123"/>
      <c r="I224" s="123"/>
      <c r="J224" s="123"/>
      <c r="K224" s="123"/>
      <c r="L224" s="96" t="s">
        <v>767</v>
      </c>
      <c r="M224" s="123"/>
      <c r="N224" s="123"/>
      <c r="O224" s="123"/>
      <c r="P224" s="123"/>
      <c r="Q224" s="123"/>
      <c r="R224" s="123"/>
      <c r="S224" s="18"/>
      <c r="T224" s="18"/>
      <c r="U224" s="18"/>
      <c r="V224" s="18"/>
      <c r="W224" s="18"/>
    </row>
    <row r="225" spans="1:23" x14ac:dyDescent="0.3">
      <c r="A225" s="152" t="s">
        <v>756</v>
      </c>
      <c r="B225" s="152" t="s">
        <v>444</v>
      </c>
      <c r="C225" s="152" t="s">
        <v>419</v>
      </c>
      <c r="D225" s="152" t="s">
        <v>771</v>
      </c>
      <c r="E225" s="120" t="s">
        <v>772</v>
      </c>
      <c r="F225" s="123" t="s">
        <v>369</v>
      </c>
      <c r="G225" s="123" t="s">
        <v>33</v>
      </c>
      <c r="H225" s="123" t="s">
        <v>685</v>
      </c>
      <c r="I225" s="123" t="s">
        <v>356</v>
      </c>
      <c r="J225" s="123" t="s">
        <v>33</v>
      </c>
      <c r="K225" s="123" t="s">
        <v>33</v>
      </c>
      <c r="L225" s="123" t="s">
        <v>765</v>
      </c>
      <c r="M225" s="123" t="s">
        <v>33</v>
      </c>
      <c r="N225" s="123" t="s">
        <v>33</v>
      </c>
      <c r="O225" s="123">
        <v>28</v>
      </c>
      <c r="P225" s="123">
        <v>1024</v>
      </c>
      <c r="Q225" s="123" t="s">
        <v>33</v>
      </c>
      <c r="R225" s="123" t="s">
        <v>33</v>
      </c>
      <c r="S225" s="18"/>
      <c r="T225" s="18"/>
      <c r="U225" s="18"/>
      <c r="V225" s="18"/>
      <c r="W225" s="18"/>
    </row>
    <row r="226" spans="1:23" x14ac:dyDescent="0.3">
      <c r="A226" s="153"/>
      <c r="B226" s="153"/>
      <c r="C226" s="153"/>
      <c r="D226" s="153"/>
      <c r="E226" s="120" t="s">
        <v>773</v>
      </c>
      <c r="F226" s="123"/>
      <c r="G226" s="123"/>
      <c r="H226" s="123"/>
      <c r="I226" s="123"/>
      <c r="J226" s="123"/>
      <c r="K226" s="123"/>
      <c r="L226" s="96" t="s">
        <v>767</v>
      </c>
      <c r="M226" s="123"/>
      <c r="N226" s="123"/>
      <c r="O226" s="123"/>
      <c r="P226" s="123"/>
      <c r="Q226" s="123"/>
      <c r="R226" s="123"/>
      <c r="S226" s="18"/>
      <c r="T226" s="18"/>
      <c r="U226" s="18"/>
      <c r="V226" s="18"/>
      <c r="W226" s="18"/>
    </row>
    <row r="227" spans="1:23" x14ac:dyDescent="0.3">
      <c r="A227" s="152" t="s">
        <v>690</v>
      </c>
      <c r="B227" s="152" t="s">
        <v>607</v>
      </c>
      <c r="C227" s="152" t="s">
        <v>419</v>
      </c>
      <c r="D227" s="152" t="s">
        <v>774</v>
      </c>
      <c r="E227" s="120" t="s">
        <v>775</v>
      </c>
      <c r="F227" s="123" t="s">
        <v>369</v>
      </c>
      <c r="G227" s="123" t="s">
        <v>33</v>
      </c>
      <c r="H227" s="123" t="s">
        <v>685</v>
      </c>
      <c r="I227" s="123" t="s">
        <v>356</v>
      </c>
      <c r="J227" s="123" t="s">
        <v>33</v>
      </c>
      <c r="K227" s="123" t="s">
        <v>33</v>
      </c>
      <c r="L227" s="123" t="s">
        <v>534</v>
      </c>
      <c r="M227" s="123" t="s">
        <v>33</v>
      </c>
      <c r="N227" s="123" t="s">
        <v>33</v>
      </c>
      <c r="O227" s="123">
        <v>28</v>
      </c>
      <c r="P227" s="123">
        <v>1024</v>
      </c>
      <c r="Q227" s="123" t="s">
        <v>33</v>
      </c>
      <c r="R227" s="123" t="s">
        <v>33</v>
      </c>
      <c r="S227" s="18"/>
      <c r="T227" s="18"/>
      <c r="U227" s="18"/>
      <c r="V227" s="18"/>
      <c r="W227" s="18"/>
    </row>
    <row r="228" spans="1:23" x14ac:dyDescent="0.3">
      <c r="A228" s="153"/>
      <c r="B228" s="153"/>
      <c r="C228" s="153"/>
      <c r="D228" s="153"/>
      <c r="E228" s="120" t="s">
        <v>776</v>
      </c>
      <c r="F228" s="123"/>
      <c r="G228" s="123"/>
      <c r="H228" s="123"/>
      <c r="I228" s="123"/>
      <c r="J228" s="123"/>
      <c r="K228" s="123"/>
      <c r="L228" s="96" t="s">
        <v>536</v>
      </c>
      <c r="M228" s="123"/>
      <c r="N228" s="123"/>
      <c r="O228" s="123"/>
      <c r="P228" s="123"/>
      <c r="Q228" s="123"/>
      <c r="R228" s="123"/>
      <c r="S228" s="18"/>
      <c r="T228" s="18"/>
      <c r="U228" s="18"/>
      <c r="V228" s="18"/>
      <c r="W228" s="18"/>
    </row>
    <row r="229" spans="1:23" x14ac:dyDescent="0.3">
      <c r="A229" s="152" t="s">
        <v>690</v>
      </c>
      <c r="B229" s="152" t="s">
        <v>777</v>
      </c>
      <c r="C229" s="152" t="s">
        <v>419</v>
      </c>
      <c r="D229" s="152" t="s">
        <v>778</v>
      </c>
      <c r="E229" s="120" t="s">
        <v>779</v>
      </c>
      <c r="F229" s="123" t="s">
        <v>369</v>
      </c>
      <c r="G229" s="123" t="s">
        <v>33</v>
      </c>
      <c r="H229" s="123" t="s">
        <v>685</v>
      </c>
      <c r="I229" s="123" t="s">
        <v>356</v>
      </c>
      <c r="J229" s="123" t="s">
        <v>33</v>
      </c>
      <c r="K229" s="123" t="s">
        <v>33</v>
      </c>
      <c r="L229" s="123" t="s">
        <v>534</v>
      </c>
      <c r="M229" s="123" t="s">
        <v>33</v>
      </c>
      <c r="N229" s="123" t="s">
        <v>33</v>
      </c>
      <c r="O229" s="123">
        <v>28</v>
      </c>
      <c r="P229" s="123">
        <v>1024</v>
      </c>
      <c r="Q229" s="123" t="s">
        <v>33</v>
      </c>
      <c r="R229" s="123" t="s">
        <v>33</v>
      </c>
      <c r="S229" s="18"/>
      <c r="T229" s="18"/>
      <c r="U229" s="18"/>
      <c r="V229" s="18"/>
      <c r="W229" s="18"/>
    </row>
    <row r="230" spans="1:23" x14ac:dyDescent="0.3">
      <c r="A230" s="153"/>
      <c r="B230" s="153"/>
      <c r="C230" s="153"/>
      <c r="D230" s="153"/>
      <c r="E230" s="120" t="s">
        <v>780</v>
      </c>
      <c r="F230" s="123"/>
      <c r="G230" s="123"/>
      <c r="H230" s="123"/>
      <c r="I230" s="123"/>
      <c r="J230" s="123"/>
      <c r="K230" s="123"/>
      <c r="L230" s="96" t="s">
        <v>536</v>
      </c>
      <c r="M230" s="123"/>
      <c r="N230" s="123"/>
      <c r="O230" s="123"/>
      <c r="P230" s="123"/>
      <c r="Q230" s="123"/>
      <c r="R230" s="123"/>
      <c r="S230" s="18"/>
      <c r="T230" s="18"/>
      <c r="U230" s="18"/>
      <c r="V230" s="18"/>
      <c r="W230" s="18"/>
    </row>
    <row r="231" spans="1:23" x14ac:dyDescent="0.3">
      <c r="A231" s="152" t="s">
        <v>690</v>
      </c>
      <c r="B231" s="152" t="s">
        <v>568</v>
      </c>
      <c r="C231" s="152" t="s">
        <v>419</v>
      </c>
      <c r="D231" s="152" t="s">
        <v>781</v>
      </c>
      <c r="E231" s="120" t="s">
        <v>782</v>
      </c>
      <c r="F231" s="123" t="s">
        <v>369</v>
      </c>
      <c r="G231" s="123" t="s">
        <v>33</v>
      </c>
      <c r="H231" s="123" t="s">
        <v>685</v>
      </c>
      <c r="I231" s="123" t="s">
        <v>356</v>
      </c>
      <c r="J231" s="123" t="s">
        <v>33</v>
      </c>
      <c r="K231" s="123" t="s">
        <v>33</v>
      </c>
      <c r="L231" s="123" t="s">
        <v>534</v>
      </c>
      <c r="M231" s="123" t="s">
        <v>33</v>
      </c>
      <c r="N231" s="123" t="s">
        <v>33</v>
      </c>
      <c r="O231" s="123">
        <v>28</v>
      </c>
      <c r="P231" s="123">
        <v>1024</v>
      </c>
      <c r="Q231" s="123" t="s">
        <v>33</v>
      </c>
      <c r="R231" s="123" t="s">
        <v>33</v>
      </c>
      <c r="S231" s="18"/>
      <c r="T231" s="18"/>
      <c r="U231" s="18"/>
      <c r="V231" s="18"/>
      <c r="W231" s="18"/>
    </row>
    <row r="232" spans="1:23" x14ac:dyDescent="0.3">
      <c r="A232" s="153"/>
      <c r="B232" s="153"/>
      <c r="C232" s="153"/>
      <c r="D232" s="153"/>
      <c r="E232" s="120" t="s">
        <v>783</v>
      </c>
      <c r="F232" s="123"/>
      <c r="G232" s="123"/>
      <c r="H232" s="123"/>
      <c r="I232" s="123"/>
      <c r="J232" s="123"/>
      <c r="K232" s="123"/>
      <c r="L232" s="96" t="s">
        <v>536</v>
      </c>
      <c r="M232" s="123"/>
      <c r="N232" s="123"/>
      <c r="O232" s="123"/>
      <c r="P232" s="123"/>
      <c r="Q232" s="123"/>
      <c r="R232" s="123"/>
      <c r="S232" s="18"/>
      <c r="T232" s="18"/>
      <c r="U232" s="18"/>
      <c r="V232" s="18"/>
      <c r="W232" s="18"/>
    </row>
    <row r="233" spans="1:23" x14ac:dyDescent="0.3">
      <c r="A233" s="152" t="s">
        <v>697</v>
      </c>
      <c r="B233" s="152" t="s">
        <v>607</v>
      </c>
      <c r="C233" s="152" t="s">
        <v>419</v>
      </c>
      <c r="D233" s="152" t="s">
        <v>784</v>
      </c>
      <c r="E233" s="120" t="s">
        <v>785</v>
      </c>
      <c r="F233" s="123" t="s">
        <v>369</v>
      </c>
      <c r="G233" s="123" t="s">
        <v>33</v>
      </c>
      <c r="H233" s="123" t="s">
        <v>685</v>
      </c>
      <c r="I233" s="123" t="s">
        <v>356</v>
      </c>
      <c r="J233" s="123" t="s">
        <v>33</v>
      </c>
      <c r="K233" s="123" t="s">
        <v>33</v>
      </c>
      <c r="L233" s="123" t="s">
        <v>534</v>
      </c>
      <c r="M233" s="123" t="s">
        <v>33</v>
      </c>
      <c r="N233" s="123" t="s">
        <v>33</v>
      </c>
      <c r="O233" s="123">
        <v>28</v>
      </c>
      <c r="P233" s="123">
        <v>1024</v>
      </c>
      <c r="Q233" s="123" t="s">
        <v>33</v>
      </c>
      <c r="R233" s="123" t="s">
        <v>33</v>
      </c>
      <c r="S233" s="18"/>
      <c r="T233" s="18"/>
      <c r="U233" s="18"/>
      <c r="V233" s="18"/>
      <c r="W233" s="18"/>
    </row>
    <row r="234" spans="1:23" x14ac:dyDescent="0.3">
      <c r="A234" s="153"/>
      <c r="B234" s="153"/>
      <c r="C234" s="153"/>
      <c r="D234" s="153"/>
      <c r="E234" s="120" t="s">
        <v>786</v>
      </c>
      <c r="F234" s="123"/>
      <c r="G234" s="123"/>
      <c r="H234" s="123"/>
      <c r="I234" s="123"/>
      <c r="J234" s="123"/>
      <c r="K234" s="123"/>
      <c r="L234" s="96" t="s">
        <v>536</v>
      </c>
      <c r="M234" s="123"/>
      <c r="N234" s="123"/>
      <c r="O234" s="123"/>
      <c r="P234" s="123"/>
      <c r="Q234" s="123"/>
      <c r="R234" s="123"/>
      <c r="S234" s="18"/>
      <c r="T234" s="18"/>
      <c r="U234" s="18"/>
      <c r="V234" s="18"/>
      <c r="W234" s="18"/>
    </row>
    <row r="235" spans="1:23" x14ac:dyDescent="0.3">
      <c r="A235" s="152" t="s">
        <v>697</v>
      </c>
      <c r="B235" s="152" t="s">
        <v>777</v>
      </c>
      <c r="C235" s="152" t="s">
        <v>419</v>
      </c>
      <c r="D235" s="152" t="s">
        <v>787</v>
      </c>
      <c r="E235" s="120" t="s">
        <v>788</v>
      </c>
      <c r="F235" s="123" t="s">
        <v>369</v>
      </c>
      <c r="G235" s="123" t="s">
        <v>33</v>
      </c>
      <c r="H235" s="123" t="s">
        <v>685</v>
      </c>
      <c r="I235" s="123" t="s">
        <v>356</v>
      </c>
      <c r="J235" s="123" t="s">
        <v>33</v>
      </c>
      <c r="K235" s="123" t="s">
        <v>33</v>
      </c>
      <c r="L235" s="123" t="s">
        <v>534</v>
      </c>
      <c r="M235" s="123" t="s">
        <v>33</v>
      </c>
      <c r="N235" s="123" t="s">
        <v>33</v>
      </c>
      <c r="O235" s="123">
        <v>28</v>
      </c>
      <c r="P235" s="123">
        <v>1024</v>
      </c>
      <c r="Q235" s="123" t="s">
        <v>33</v>
      </c>
      <c r="R235" s="123" t="s">
        <v>33</v>
      </c>
      <c r="S235" s="18"/>
      <c r="T235" s="18"/>
      <c r="U235" s="18"/>
      <c r="V235" s="18"/>
      <c r="W235" s="18"/>
    </row>
    <row r="236" spans="1:23" x14ac:dyDescent="0.3">
      <c r="A236" s="153"/>
      <c r="B236" s="153"/>
      <c r="C236" s="153"/>
      <c r="D236" s="153"/>
      <c r="E236" s="120" t="s">
        <v>789</v>
      </c>
      <c r="F236" s="123"/>
      <c r="G236" s="123"/>
      <c r="H236" s="123"/>
      <c r="I236" s="123"/>
      <c r="J236" s="123"/>
      <c r="K236" s="123"/>
      <c r="L236" s="96" t="s">
        <v>536</v>
      </c>
      <c r="M236" s="123"/>
      <c r="N236" s="123"/>
      <c r="O236" s="123"/>
      <c r="P236" s="123"/>
      <c r="Q236" s="123"/>
      <c r="R236" s="123"/>
      <c r="S236" s="18"/>
      <c r="T236" s="18"/>
      <c r="U236" s="18"/>
      <c r="V236" s="18"/>
      <c r="W236" s="18"/>
    </row>
    <row r="237" spans="1:23" x14ac:dyDescent="0.3">
      <c r="A237" s="152" t="s">
        <v>486</v>
      </c>
      <c r="B237" s="152" t="s">
        <v>440</v>
      </c>
      <c r="C237" s="152" t="s">
        <v>419</v>
      </c>
      <c r="D237" s="152" t="s">
        <v>790</v>
      </c>
      <c r="E237" s="120" t="s">
        <v>791</v>
      </c>
      <c r="F237" s="123" t="s">
        <v>369</v>
      </c>
      <c r="G237" s="123"/>
      <c r="H237" s="123" t="s">
        <v>685</v>
      </c>
      <c r="I237" s="123" t="s">
        <v>356</v>
      </c>
      <c r="J237" s="123"/>
      <c r="K237" s="123"/>
      <c r="L237" s="123" t="s">
        <v>370</v>
      </c>
      <c r="M237" s="123"/>
      <c r="N237" s="123"/>
      <c r="O237" s="123">
        <v>28</v>
      </c>
      <c r="P237" s="123">
        <v>1024</v>
      </c>
      <c r="Q237" s="123"/>
      <c r="R237" s="123"/>
      <c r="S237" s="18"/>
      <c r="T237" s="18"/>
      <c r="U237" s="18"/>
      <c r="V237" s="18"/>
      <c r="W237" s="18"/>
    </row>
    <row r="238" spans="1:23" x14ac:dyDescent="0.3">
      <c r="A238" s="153"/>
      <c r="B238" s="153"/>
      <c r="C238" s="153"/>
      <c r="D238" s="153"/>
      <c r="E238" s="120" t="s">
        <v>743</v>
      </c>
      <c r="F238" s="123"/>
      <c r="G238" s="123"/>
      <c r="H238" s="123"/>
      <c r="I238" s="123"/>
      <c r="J238" s="123"/>
      <c r="K238" s="123"/>
      <c r="L238" s="96" t="s">
        <v>426</v>
      </c>
      <c r="M238" s="123"/>
      <c r="N238" s="123"/>
      <c r="O238" s="123"/>
      <c r="P238" s="123"/>
      <c r="Q238" s="123"/>
      <c r="R238" s="123"/>
      <c r="S238" s="18"/>
      <c r="T238" s="18"/>
      <c r="U238" s="18"/>
      <c r="V238" s="18"/>
      <c r="W238" s="18"/>
    </row>
    <row r="239" spans="1:23" x14ac:dyDescent="0.3">
      <c r="A239" s="152" t="s">
        <v>486</v>
      </c>
      <c r="B239" s="152" t="s">
        <v>444</v>
      </c>
      <c r="C239" s="152" t="s">
        <v>419</v>
      </c>
      <c r="D239" s="152" t="s">
        <v>792</v>
      </c>
      <c r="E239" s="120" t="s">
        <v>793</v>
      </c>
      <c r="F239" s="123" t="s">
        <v>369</v>
      </c>
      <c r="G239" s="123"/>
      <c r="H239" s="123" t="s">
        <v>685</v>
      </c>
      <c r="I239" s="123" t="s">
        <v>356</v>
      </c>
      <c r="J239" s="123"/>
      <c r="K239" s="123"/>
      <c r="L239" s="123" t="s">
        <v>370</v>
      </c>
      <c r="M239" s="123"/>
      <c r="N239" s="123"/>
      <c r="O239" s="123">
        <v>28</v>
      </c>
      <c r="P239" s="123">
        <v>1024</v>
      </c>
      <c r="Q239" s="123"/>
      <c r="R239" s="123"/>
      <c r="S239" s="18"/>
      <c r="T239" s="18"/>
      <c r="U239" s="18"/>
      <c r="V239" s="18"/>
      <c r="W239" s="18"/>
    </row>
    <row r="240" spans="1:23" x14ac:dyDescent="0.3">
      <c r="A240" s="153"/>
      <c r="B240" s="153"/>
      <c r="C240" s="153"/>
      <c r="D240" s="153"/>
      <c r="E240" s="120" t="s">
        <v>746</v>
      </c>
      <c r="F240" s="123"/>
      <c r="G240" s="123"/>
      <c r="H240" s="123"/>
      <c r="I240" s="123"/>
      <c r="J240" s="123"/>
      <c r="K240" s="123"/>
      <c r="L240" s="96" t="s">
        <v>426</v>
      </c>
      <c r="M240" s="123"/>
      <c r="N240" s="123"/>
      <c r="O240" s="123"/>
      <c r="P240" s="123"/>
      <c r="Q240" s="123"/>
      <c r="R240" s="123"/>
      <c r="S240" s="18"/>
      <c r="T240" s="18"/>
      <c r="U240" s="18"/>
      <c r="V240" s="18"/>
      <c r="W240" s="18"/>
    </row>
    <row r="241" spans="1:23" x14ac:dyDescent="0.3">
      <c r="A241" s="152" t="s">
        <v>697</v>
      </c>
      <c r="B241" s="152" t="s">
        <v>568</v>
      </c>
      <c r="C241" s="152" t="s">
        <v>419</v>
      </c>
      <c r="D241" s="152" t="s">
        <v>794</v>
      </c>
      <c r="E241" s="120" t="s">
        <v>795</v>
      </c>
      <c r="F241" s="123" t="s">
        <v>369</v>
      </c>
      <c r="G241" s="123"/>
      <c r="H241" s="123" t="s">
        <v>685</v>
      </c>
      <c r="I241" s="123" t="s">
        <v>356</v>
      </c>
      <c r="J241" s="123"/>
      <c r="K241" s="123"/>
      <c r="L241" s="123" t="s">
        <v>559</v>
      </c>
      <c r="M241" s="123"/>
      <c r="N241" s="123"/>
      <c r="O241" s="123">
        <v>28</v>
      </c>
      <c r="P241" s="123">
        <v>1024</v>
      </c>
      <c r="Q241" s="123"/>
      <c r="R241" s="123"/>
      <c r="S241" s="18"/>
      <c r="T241" s="18"/>
      <c r="U241" s="18"/>
      <c r="V241" s="18"/>
      <c r="W241" s="18"/>
    </row>
    <row r="242" spans="1:23" x14ac:dyDescent="0.3">
      <c r="A242" s="153"/>
      <c r="B242" s="153"/>
      <c r="C242" s="153"/>
      <c r="D242" s="153"/>
      <c r="E242" s="120" t="s">
        <v>796</v>
      </c>
      <c r="F242" s="123"/>
      <c r="G242" s="123"/>
      <c r="H242" s="123"/>
      <c r="I242" s="123"/>
      <c r="J242" s="123"/>
      <c r="K242" s="123"/>
      <c r="L242" s="96" t="s">
        <v>560</v>
      </c>
      <c r="M242" s="123"/>
      <c r="N242" s="123"/>
      <c r="O242" s="123"/>
      <c r="P242" s="123"/>
      <c r="Q242" s="123"/>
      <c r="R242" s="123"/>
      <c r="S242" s="18"/>
      <c r="T242" s="18"/>
      <c r="U242" s="18"/>
      <c r="V242" s="18"/>
      <c r="W242" s="18"/>
    </row>
    <row r="243" spans="1:23" x14ac:dyDescent="0.3">
      <c r="A243" s="152" t="s">
        <v>697</v>
      </c>
      <c r="B243" s="152" t="s">
        <v>573</v>
      </c>
      <c r="C243" s="152" t="s">
        <v>419</v>
      </c>
      <c r="D243" s="152" t="s">
        <v>797</v>
      </c>
      <c r="E243" s="120" t="s">
        <v>798</v>
      </c>
      <c r="F243" s="123" t="s">
        <v>369</v>
      </c>
      <c r="G243" s="123"/>
      <c r="H243" s="123" t="s">
        <v>685</v>
      </c>
      <c r="I243" s="123" t="s">
        <v>356</v>
      </c>
      <c r="J243" s="123"/>
      <c r="K243" s="123"/>
      <c r="L243" s="123" t="s">
        <v>559</v>
      </c>
      <c r="M243" s="123"/>
      <c r="N243" s="123"/>
      <c r="O243" s="123">
        <v>28</v>
      </c>
      <c r="P243" s="123">
        <v>1024</v>
      </c>
      <c r="Q243" s="123"/>
      <c r="R243" s="123"/>
      <c r="S243" s="18"/>
      <c r="T243" s="18"/>
      <c r="U243" s="18"/>
      <c r="V243" s="18"/>
      <c r="W243" s="18"/>
    </row>
    <row r="244" spans="1:23" x14ac:dyDescent="0.3">
      <c r="A244" s="153"/>
      <c r="B244" s="153"/>
      <c r="C244" s="153"/>
      <c r="D244" s="153"/>
      <c r="E244" s="120" t="s">
        <v>752</v>
      </c>
      <c r="F244" s="123"/>
      <c r="G244" s="123"/>
      <c r="H244" s="123"/>
      <c r="I244" s="123"/>
      <c r="J244" s="123"/>
      <c r="K244" s="123"/>
      <c r="L244" s="96" t="s">
        <v>560</v>
      </c>
      <c r="M244" s="123"/>
      <c r="N244" s="123"/>
      <c r="O244" s="123"/>
      <c r="P244" s="123"/>
      <c r="Q244" s="123"/>
      <c r="R244" s="123"/>
      <c r="S244" s="18"/>
      <c r="T244" s="18"/>
      <c r="U244" s="18"/>
      <c r="V244" s="18"/>
      <c r="W244" s="18"/>
    </row>
    <row r="245" spans="1:23" x14ac:dyDescent="0.3">
      <c r="A245" s="97" t="s">
        <v>509</v>
      </c>
      <c r="B245" s="97" t="s">
        <v>563</v>
      </c>
      <c r="C245" s="97" t="s">
        <v>569</v>
      </c>
      <c r="D245" s="123" t="s">
        <v>799</v>
      </c>
      <c r="E245" s="95" t="s">
        <v>800</v>
      </c>
      <c r="F245" s="123" t="s">
        <v>572</v>
      </c>
      <c r="G245" s="123"/>
      <c r="H245" s="123" t="s">
        <v>685</v>
      </c>
      <c r="I245" s="123" t="s">
        <v>356</v>
      </c>
      <c r="J245" s="123"/>
      <c r="K245" s="123"/>
      <c r="L245" s="96" t="s">
        <v>426</v>
      </c>
      <c r="M245" s="123"/>
      <c r="N245" s="123"/>
      <c r="O245" s="123"/>
      <c r="P245" s="123"/>
      <c r="Q245" s="123"/>
      <c r="R245" s="123"/>
      <c r="S245" s="18"/>
      <c r="T245" s="18"/>
      <c r="U245" s="18"/>
      <c r="V245" s="18"/>
      <c r="W245" s="18"/>
    </row>
    <row r="246" spans="1:23" x14ac:dyDescent="0.3">
      <c r="A246" s="97" t="s">
        <v>486</v>
      </c>
      <c r="B246" s="97" t="s">
        <v>436</v>
      </c>
      <c r="C246" s="97" t="s">
        <v>569</v>
      </c>
      <c r="D246" s="123" t="s">
        <v>801</v>
      </c>
      <c r="E246" s="95" t="s">
        <v>802</v>
      </c>
      <c r="F246" s="123" t="s">
        <v>572</v>
      </c>
      <c r="G246" s="123"/>
      <c r="H246" s="123" t="s">
        <v>685</v>
      </c>
      <c r="I246" s="123" t="s">
        <v>356</v>
      </c>
      <c r="J246" s="123"/>
      <c r="K246" s="123"/>
      <c r="L246" s="96" t="s">
        <v>426</v>
      </c>
      <c r="M246" s="123"/>
      <c r="N246" s="123"/>
      <c r="O246" s="123"/>
      <c r="P246" s="123"/>
      <c r="Q246" s="123"/>
      <c r="R246" s="123"/>
      <c r="S246" s="18"/>
      <c r="T246" s="18"/>
      <c r="U246" s="18"/>
      <c r="V246" s="18"/>
      <c r="W246" s="18"/>
    </row>
    <row r="247" spans="1:23" x14ac:dyDescent="0.3">
      <c r="A247" s="152" t="s">
        <v>697</v>
      </c>
      <c r="B247" s="152" t="s">
        <v>563</v>
      </c>
      <c r="C247" s="152" t="s">
        <v>581</v>
      </c>
      <c r="D247" s="152" t="s">
        <v>803</v>
      </c>
      <c r="E247" s="123" t="s">
        <v>804</v>
      </c>
      <c r="F247" s="123"/>
      <c r="G247" s="123" t="s">
        <v>33</v>
      </c>
      <c r="H247" s="123" t="s">
        <v>685</v>
      </c>
      <c r="I247" s="123" t="s">
        <v>356</v>
      </c>
      <c r="J247" s="123" t="s">
        <v>33</v>
      </c>
      <c r="K247" s="123" t="s">
        <v>33</v>
      </c>
      <c r="L247" s="123" t="s">
        <v>586</v>
      </c>
      <c r="M247" s="123" t="s">
        <v>33</v>
      </c>
      <c r="N247" s="123" t="s">
        <v>33</v>
      </c>
      <c r="O247" s="123" t="s">
        <v>33</v>
      </c>
      <c r="P247" s="123" t="s">
        <v>33</v>
      </c>
      <c r="Q247" s="123" t="s">
        <v>33</v>
      </c>
      <c r="R247" s="123" t="s">
        <v>33</v>
      </c>
      <c r="S247" s="18"/>
      <c r="T247" s="18"/>
      <c r="U247" s="18"/>
      <c r="V247" s="18"/>
      <c r="W247" s="18"/>
    </row>
    <row r="248" spans="1:23" x14ac:dyDescent="0.3">
      <c r="A248" s="154"/>
      <c r="B248" s="154"/>
      <c r="C248" s="154"/>
      <c r="D248" s="154"/>
      <c r="E248" s="123" t="s">
        <v>805</v>
      </c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8"/>
      <c r="T248" s="18"/>
      <c r="U248" s="18"/>
      <c r="V248" s="18"/>
      <c r="W248" s="18"/>
    </row>
    <row r="249" spans="1:23" x14ac:dyDescent="0.3">
      <c r="A249" s="154"/>
      <c r="B249" s="154"/>
      <c r="C249" s="154"/>
      <c r="D249" s="154"/>
      <c r="E249" s="123" t="s">
        <v>806</v>
      </c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8"/>
      <c r="T249" s="18"/>
      <c r="U249" s="18"/>
      <c r="V249" s="18"/>
      <c r="W249" s="18"/>
    </row>
    <row r="250" spans="1:23" x14ac:dyDescent="0.3">
      <c r="A250" s="154"/>
      <c r="B250" s="154"/>
      <c r="C250" s="154"/>
      <c r="D250" s="154"/>
      <c r="E250" s="123" t="s">
        <v>807</v>
      </c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8"/>
      <c r="T250" s="18"/>
      <c r="U250" s="18"/>
      <c r="V250" s="18"/>
      <c r="W250" s="18"/>
    </row>
    <row r="251" spans="1:23" x14ac:dyDescent="0.3">
      <c r="A251" s="153"/>
      <c r="B251" s="153"/>
      <c r="C251" s="153"/>
      <c r="D251" s="153"/>
      <c r="E251" s="123" t="s">
        <v>808</v>
      </c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8"/>
      <c r="T251" s="18"/>
      <c r="U251" s="18"/>
      <c r="V251" s="18"/>
      <c r="W251" s="18"/>
    </row>
    <row r="252" spans="1:23" x14ac:dyDescent="0.3">
      <c r="A252" s="152" t="s">
        <v>682</v>
      </c>
      <c r="B252" s="152" t="s">
        <v>594</v>
      </c>
      <c r="C252" s="152" t="s">
        <v>809</v>
      </c>
      <c r="D252" s="152" t="s">
        <v>810</v>
      </c>
      <c r="E252" s="120" t="s">
        <v>811</v>
      </c>
      <c r="F252" s="123" t="s">
        <v>33</v>
      </c>
      <c r="G252" s="123" t="s">
        <v>33</v>
      </c>
      <c r="H252" s="123" t="s">
        <v>685</v>
      </c>
      <c r="I252" s="123" t="s">
        <v>356</v>
      </c>
      <c r="J252" s="123" t="s">
        <v>33</v>
      </c>
      <c r="K252" s="123" t="s">
        <v>33</v>
      </c>
      <c r="L252" s="123" t="s">
        <v>598</v>
      </c>
      <c r="M252" s="123" t="s">
        <v>33</v>
      </c>
      <c r="N252" s="123" t="s">
        <v>33</v>
      </c>
      <c r="O252" s="123" t="s">
        <v>33</v>
      </c>
      <c r="P252" s="126"/>
      <c r="Q252" s="123" t="s">
        <v>33</v>
      </c>
      <c r="R252" s="123" t="s">
        <v>33</v>
      </c>
      <c r="S252" s="18"/>
      <c r="T252" s="18"/>
      <c r="U252" s="18"/>
      <c r="V252" s="18"/>
      <c r="W252" s="18"/>
    </row>
    <row r="253" spans="1:23" x14ac:dyDescent="0.3">
      <c r="A253" s="154"/>
      <c r="B253" s="154"/>
      <c r="C253" s="154"/>
      <c r="D253" s="154"/>
      <c r="E253" s="120" t="s">
        <v>812</v>
      </c>
      <c r="F253" s="123"/>
      <c r="G253" s="123"/>
      <c r="H253" s="123" t="s">
        <v>685</v>
      </c>
      <c r="I253" s="123" t="s">
        <v>600</v>
      </c>
      <c r="J253" s="123"/>
      <c r="K253" s="123"/>
      <c r="L253" s="123" t="s">
        <v>601</v>
      </c>
      <c r="M253" s="123"/>
      <c r="N253" s="123"/>
      <c r="O253" s="123"/>
      <c r="P253" s="126"/>
      <c r="Q253" s="123"/>
      <c r="R253" s="123"/>
      <c r="S253" s="18"/>
      <c r="T253" s="18"/>
      <c r="U253" s="18"/>
      <c r="V253" s="18"/>
      <c r="W253" s="18"/>
    </row>
    <row r="254" spans="1:23" x14ac:dyDescent="0.3">
      <c r="A254" s="153"/>
      <c r="B254" s="153"/>
      <c r="C254" s="153"/>
      <c r="D254" s="153"/>
      <c r="E254" s="120" t="s">
        <v>813</v>
      </c>
      <c r="F254" s="123"/>
      <c r="G254" s="123"/>
      <c r="H254" s="123" t="s">
        <v>685</v>
      </c>
      <c r="I254" s="123" t="s">
        <v>600</v>
      </c>
      <c r="J254" s="123"/>
      <c r="K254" s="123"/>
      <c r="L254" s="123" t="s">
        <v>601</v>
      </c>
      <c r="M254" s="123"/>
      <c r="N254" s="123"/>
      <c r="O254" s="123"/>
      <c r="P254" s="126"/>
      <c r="Q254" s="123"/>
      <c r="R254" s="123"/>
      <c r="S254" s="18"/>
      <c r="T254" s="18"/>
      <c r="U254" s="18"/>
      <c r="V254" s="18"/>
      <c r="W254" s="18"/>
    </row>
    <row r="255" spans="1:23" x14ac:dyDescent="0.3">
      <c r="A255" s="97" t="s">
        <v>690</v>
      </c>
      <c r="B255" s="97" t="s">
        <v>814</v>
      </c>
      <c r="C255" s="97" t="s">
        <v>608</v>
      </c>
      <c r="D255" s="123" t="s">
        <v>815</v>
      </c>
      <c r="E255" s="95" t="s">
        <v>816</v>
      </c>
      <c r="F255" s="123" t="s">
        <v>33</v>
      </c>
      <c r="G255" s="123" t="s">
        <v>33</v>
      </c>
      <c r="H255" s="123" t="s">
        <v>685</v>
      </c>
      <c r="I255" s="123" t="s">
        <v>356</v>
      </c>
      <c r="J255" s="123" t="s">
        <v>33</v>
      </c>
      <c r="K255" s="123" t="s">
        <v>33</v>
      </c>
      <c r="L255" s="123" t="s">
        <v>624</v>
      </c>
      <c r="M255" s="123" t="s">
        <v>33</v>
      </c>
      <c r="N255" s="123" t="s">
        <v>33</v>
      </c>
      <c r="O255" s="123" t="s">
        <v>33</v>
      </c>
      <c r="P255" s="123"/>
      <c r="Q255" s="123" t="s">
        <v>33</v>
      </c>
      <c r="R255" s="123" t="s">
        <v>33</v>
      </c>
      <c r="S255" s="18"/>
      <c r="T255" s="18"/>
      <c r="U255" s="18"/>
      <c r="V255" s="18"/>
      <c r="W255" s="18"/>
    </row>
    <row r="256" spans="1:23" x14ac:dyDescent="0.3">
      <c r="A256" s="97" t="s">
        <v>697</v>
      </c>
      <c r="B256" s="97" t="s">
        <v>814</v>
      </c>
      <c r="C256" s="97" t="s">
        <v>608</v>
      </c>
      <c r="D256" s="123" t="s">
        <v>817</v>
      </c>
      <c r="E256" s="95" t="s">
        <v>818</v>
      </c>
      <c r="F256" s="123" t="s">
        <v>33</v>
      </c>
      <c r="G256" s="123" t="s">
        <v>33</v>
      </c>
      <c r="H256" s="123" t="s">
        <v>685</v>
      </c>
      <c r="I256" s="123" t="s">
        <v>356</v>
      </c>
      <c r="J256" s="123" t="s">
        <v>33</v>
      </c>
      <c r="K256" s="123" t="s">
        <v>33</v>
      </c>
      <c r="L256" s="123" t="s">
        <v>611</v>
      </c>
      <c r="M256" s="123" t="s">
        <v>33</v>
      </c>
      <c r="N256" s="123" t="s">
        <v>33</v>
      </c>
      <c r="O256" s="123" t="s">
        <v>33</v>
      </c>
      <c r="P256" s="123"/>
      <c r="Q256" s="123" t="s">
        <v>33</v>
      </c>
      <c r="R256" s="123" t="s">
        <v>33</v>
      </c>
      <c r="S256" s="18"/>
      <c r="T256" s="18"/>
      <c r="U256" s="18"/>
      <c r="V256" s="18"/>
      <c r="W256" s="18"/>
    </row>
    <row r="257" spans="1:23" x14ac:dyDescent="0.3">
      <c r="A257" s="97" t="s">
        <v>708</v>
      </c>
      <c r="B257" s="97" t="s">
        <v>614</v>
      </c>
      <c r="C257" s="97" t="s">
        <v>615</v>
      </c>
      <c r="D257" s="123" t="s">
        <v>819</v>
      </c>
      <c r="E257" s="95" t="s">
        <v>820</v>
      </c>
      <c r="F257" s="123"/>
      <c r="G257" s="123"/>
      <c r="H257" s="123" t="s">
        <v>685</v>
      </c>
      <c r="I257" s="123" t="s">
        <v>356</v>
      </c>
      <c r="J257" s="123"/>
      <c r="K257" s="123"/>
      <c r="L257" s="123" t="s">
        <v>611</v>
      </c>
      <c r="M257" s="123"/>
      <c r="N257" s="123"/>
      <c r="O257" s="123"/>
      <c r="P257" s="123"/>
      <c r="Q257" s="123"/>
      <c r="R257" s="123"/>
      <c r="S257" s="18"/>
      <c r="T257" s="18"/>
      <c r="U257" s="18"/>
      <c r="V257" s="18"/>
      <c r="W257" s="18"/>
    </row>
    <row r="258" spans="1:23" x14ac:dyDescent="0.3">
      <c r="A258" s="97" t="s">
        <v>724</v>
      </c>
      <c r="B258" s="97" t="s">
        <v>614</v>
      </c>
      <c r="C258" s="97" t="s">
        <v>615</v>
      </c>
      <c r="D258" s="123" t="s">
        <v>821</v>
      </c>
      <c r="E258" s="95" t="s">
        <v>822</v>
      </c>
      <c r="F258" s="123"/>
      <c r="G258" s="123"/>
      <c r="H258" s="123" t="s">
        <v>685</v>
      </c>
      <c r="I258" s="123" t="s">
        <v>356</v>
      </c>
      <c r="J258" s="123"/>
      <c r="K258" s="123"/>
      <c r="L258" s="123" t="s">
        <v>611</v>
      </c>
      <c r="M258" s="123"/>
      <c r="N258" s="123"/>
      <c r="O258" s="123"/>
      <c r="P258" s="123"/>
      <c r="Q258" s="123"/>
      <c r="R258" s="123"/>
      <c r="S258" s="18"/>
      <c r="T258" s="18"/>
      <c r="U258" s="18"/>
      <c r="V258" s="18"/>
      <c r="W258" s="18"/>
    </row>
    <row r="259" spans="1:23" x14ac:dyDescent="0.3">
      <c r="A259" s="152" t="s">
        <v>708</v>
      </c>
      <c r="B259" s="152" t="s">
        <v>573</v>
      </c>
      <c r="C259" s="152" t="s">
        <v>581</v>
      </c>
      <c r="D259" s="152" t="s">
        <v>823</v>
      </c>
      <c r="E259" s="123" t="s">
        <v>824</v>
      </c>
      <c r="F259" s="123" t="s">
        <v>33</v>
      </c>
      <c r="G259" s="123" t="s">
        <v>33</v>
      </c>
      <c r="H259" s="123" t="s">
        <v>685</v>
      </c>
      <c r="I259" s="123" t="s">
        <v>356</v>
      </c>
      <c r="J259" s="123" t="s">
        <v>33</v>
      </c>
      <c r="K259" s="123" t="s">
        <v>33</v>
      </c>
      <c r="L259" s="123" t="s">
        <v>586</v>
      </c>
      <c r="M259" s="123" t="s">
        <v>33</v>
      </c>
      <c r="N259" s="123" t="s">
        <v>33</v>
      </c>
      <c r="O259" s="123" t="s">
        <v>33</v>
      </c>
      <c r="P259" s="123"/>
      <c r="Q259" s="123" t="s">
        <v>33</v>
      </c>
      <c r="R259" s="123" t="s">
        <v>33</v>
      </c>
      <c r="S259" s="18"/>
      <c r="T259" s="18"/>
      <c r="U259" s="18"/>
      <c r="V259" s="18"/>
      <c r="W259" s="18"/>
    </row>
    <row r="260" spans="1:23" x14ac:dyDescent="0.3">
      <c r="A260" s="154"/>
      <c r="B260" s="154"/>
      <c r="C260" s="154"/>
      <c r="D260" s="154"/>
      <c r="E260" s="123" t="s">
        <v>825</v>
      </c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8"/>
      <c r="T260" s="18"/>
      <c r="U260" s="18"/>
      <c r="V260" s="18"/>
      <c r="W260" s="18"/>
    </row>
    <row r="261" spans="1:23" x14ac:dyDescent="0.3">
      <c r="A261" s="154"/>
      <c r="B261" s="154"/>
      <c r="C261" s="154"/>
      <c r="D261" s="154"/>
      <c r="E261" s="123" t="s">
        <v>826</v>
      </c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8"/>
      <c r="T261" s="18"/>
      <c r="U261" s="18"/>
      <c r="V261" s="18"/>
      <c r="W261" s="18"/>
    </row>
    <row r="262" spans="1:23" x14ac:dyDescent="0.3">
      <c r="A262" s="154"/>
      <c r="B262" s="154"/>
      <c r="C262" s="154"/>
      <c r="D262" s="154"/>
      <c r="E262" s="123" t="s">
        <v>827</v>
      </c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8"/>
      <c r="T262" s="18"/>
      <c r="U262" s="18"/>
      <c r="V262" s="18"/>
      <c r="W262" s="18"/>
    </row>
    <row r="263" spans="1:23" x14ac:dyDescent="0.3">
      <c r="A263" s="153"/>
      <c r="B263" s="153"/>
      <c r="C263" s="153"/>
      <c r="D263" s="153"/>
      <c r="E263" s="123" t="s">
        <v>828</v>
      </c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8"/>
      <c r="T263" s="18"/>
      <c r="U263" s="18"/>
      <c r="V263" s="18"/>
      <c r="W263" s="18"/>
    </row>
    <row r="264" spans="1:23" x14ac:dyDescent="0.3">
      <c r="A264" s="152" t="s">
        <v>708</v>
      </c>
      <c r="B264" s="152" t="s">
        <v>829</v>
      </c>
      <c r="C264" s="152" t="s">
        <v>632</v>
      </c>
      <c r="D264" s="152" t="s">
        <v>830</v>
      </c>
      <c r="E264" s="123" t="s">
        <v>831</v>
      </c>
      <c r="F264" s="123" t="s">
        <v>33</v>
      </c>
      <c r="G264" s="123" t="s">
        <v>33</v>
      </c>
      <c r="H264" s="123" t="s">
        <v>685</v>
      </c>
      <c r="I264" s="123" t="s">
        <v>356</v>
      </c>
      <c r="J264" s="123" t="s">
        <v>33</v>
      </c>
      <c r="K264" s="123" t="s">
        <v>33</v>
      </c>
      <c r="L264" s="123" t="s">
        <v>586</v>
      </c>
      <c r="M264" s="123" t="s">
        <v>33</v>
      </c>
      <c r="N264" s="123" t="s">
        <v>33</v>
      </c>
      <c r="O264" s="123" t="s">
        <v>33</v>
      </c>
      <c r="P264" s="123" t="s">
        <v>33</v>
      </c>
      <c r="Q264" s="123" t="s">
        <v>33</v>
      </c>
      <c r="R264" s="123" t="s">
        <v>33</v>
      </c>
      <c r="S264" s="18"/>
      <c r="T264" s="18"/>
      <c r="U264" s="18"/>
      <c r="V264" s="18"/>
      <c r="W264" s="18"/>
    </row>
    <row r="265" spans="1:23" x14ac:dyDescent="0.3">
      <c r="A265" s="154"/>
      <c r="B265" s="154"/>
      <c r="C265" s="154"/>
      <c r="D265" s="154"/>
      <c r="E265" s="123" t="s">
        <v>832</v>
      </c>
      <c r="F265" s="123"/>
      <c r="G265" s="123"/>
      <c r="H265" s="123" t="s">
        <v>685</v>
      </c>
      <c r="I265" s="123" t="s">
        <v>356</v>
      </c>
      <c r="J265" s="123"/>
      <c r="K265" s="123"/>
      <c r="L265" s="123"/>
      <c r="M265" s="123"/>
      <c r="N265" s="123"/>
      <c r="O265" s="123"/>
      <c r="P265" s="123"/>
      <c r="Q265" s="123"/>
      <c r="R265" s="123"/>
      <c r="S265" s="18"/>
      <c r="T265" s="18"/>
      <c r="U265" s="18"/>
      <c r="V265" s="18"/>
      <c r="W265" s="18"/>
    </row>
    <row r="266" spans="1:23" x14ac:dyDescent="0.3">
      <c r="A266" s="154"/>
      <c r="B266" s="154"/>
      <c r="C266" s="154"/>
      <c r="D266" s="154"/>
      <c r="E266" s="123" t="s">
        <v>833</v>
      </c>
      <c r="F266" s="123"/>
      <c r="G266" s="123"/>
      <c r="H266" s="123" t="s">
        <v>685</v>
      </c>
      <c r="I266" s="123" t="s">
        <v>356</v>
      </c>
      <c r="J266" s="123"/>
      <c r="K266" s="123"/>
      <c r="L266" s="123"/>
      <c r="M266" s="123"/>
      <c r="N266" s="123"/>
      <c r="O266" s="123"/>
      <c r="P266" s="123"/>
      <c r="Q266" s="123"/>
      <c r="R266" s="123"/>
      <c r="S266" s="18"/>
      <c r="T266" s="18"/>
      <c r="U266" s="18"/>
      <c r="V266" s="18"/>
      <c r="W266" s="18"/>
    </row>
    <row r="267" spans="1:23" x14ac:dyDescent="0.3">
      <c r="A267" s="154"/>
      <c r="B267" s="154"/>
      <c r="C267" s="154"/>
      <c r="D267" s="154"/>
      <c r="E267" s="123" t="s">
        <v>834</v>
      </c>
      <c r="F267" s="123"/>
      <c r="G267" s="123"/>
      <c r="H267" s="123" t="s">
        <v>685</v>
      </c>
      <c r="I267" s="123" t="s">
        <v>356</v>
      </c>
      <c r="J267" s="123"/>
      <c r="K267" s="123"/>
      <c r="L267" s="123"/>
      <c r="M267" s="123"/>
      <c r="N267" s="123"/>
      <c r="O267" s="123"/>
      <c r="P267" s="123"/>
      <c r="Q267" s="123"/>
      <c r="R267" s="123"/>
      <c r="S267" s="18"/>
      <c r="T267" s="18"/>
      <c r="U267" s="18"/>
      <c r="V267" s="18"/>
      <c r="W267" s="18"/>
    </row>
    <row r="268" spans="1:23" x14ac:dyDescent="0.3">
      <c r="A268" s="153"/>
      <c r="B268" s="153"/>
      <c r="C268" s="153"/>
      <c r="D268" s="153"/>
      <c r="E268" s="123" t="s">
        <v>835</v>
      </c>
      <c r="F268" s="123"/>
      <c r="G268" s="123"/>
      <c r="H268" s="123" t="s">
        <v>685</v>
      </c>
      <c r="I268" s="123" t="s">
        <v>356</v>
      </c>
      <c r="J268" s="123"/>
      <c r="K268" s="123"/>
      <c r="L268" s="123"/>
      <c r="M268" s="123"/>
      <c r="N268" s="123"/>
      <c r="O268" s="123"/>
      <c r="P268" s="123"/>
      <c r="Q268" s="123"/>
      <c r="R268" s="123"/>
      <c r="S268" s="18"/>
      <c r="T268" s="18"/>
      <c r="U268" s="18"/>
      <c r="V268" s="18"/>
      <c r="W268" s="18"/>
    </row>
    <row r="269" spans="1:23" x14ac:dyDescent="0.3">
      <c r="A269" s="152" t="s">
        <v>509</v>
      </c>
      <c r="B269" s="152" t="s">
        <v>836</v>
      </c>
      <c r="C269" s="152" t="s">
        <v>837</v>
      </c>
      <c r="D269" s="152" t="s">
        <v>838</v>
      </c>
      <c r="E269" s="120" t="s">
        <v>839</v>
      </c>
      <c r="F269" s="123" t="s">
        <v>33</v>
      </c>
      <c r="G269" s="123" t="s">
        <v>33</v>
      </c>
      <c r="H269" s="123" t="s">
        <v>685</v>
      </c>
      <c r="I269" s="123" t="s">
        <v>356</v>
      </c>
      <c r="J269" s="123" t="s">
        <v>33</v>
      </c>
      <c r="K269" s="123" t="s">
        <v>33</v>
      </c>
      <c r="L269" s="123" t="s">
        <v>586</v>
      </c>
      <c r="M269" s="123" t="s">
        <v>33</v>
      </c>
      <c r="N269" s="123" t="s">
        <v>33</v>
      </c>
      <c r="O269" s="123" t="s">
        <v>33</v>
      </c>
      <c r="P269" s="123" t="s">
        <v>33</v>
      </c>
      <c r="Q269" s="123" t="s">
        <v>33</v>
      </c>
      <c r="R269" s="123" t="s">
        <v>33</v>
      </c>
      <c r="S269" s="18"/>
      <c r="T269" s="18"/>
      <c r="U269" s="18"/>
      <c r="V269" s="18"/>
      <c r="W269" s="18"/>
    </row>
    <row r="270" spans="1:23" x14ac:dyDescent="0.3">
      <c r="A270" s="154"/>
      <c r="B270" s="154"/>
      <c r="C270" s="154"/>
      <c r="D270" s="154"/>
      <c r="E270" s="120" t="s">
        <v>840</v>
      </c>
      <c r="F270" s="123"/>
      <c r="G270" s="123"/>
      <c r="H270" s="123" t="s">
        <v>685</v>
      </c>
      <c r="I270" s="123" t="s">
        <v>356</v>
      </c>
      <c r="J270" s="123"/>
      <c r="K270" s="123"/>
      <c r="L270" s="123" t="s">
        <v>586</v>
      </c>
      <c r="M270" s="123"/>
      <c r="N270" s="123"/>
      <c r="O270" s="123"/>
      <c r="P270" s="123"/>
      <c r="Q270" s="123"/>
      <c r="R270" s="123"/>
      <c r="S270" s="18"/>
      <c r="T270" s="18"/>
      <c r="U270" s="18"/>
      <c r="V270" s="18"/>
      <c r="W270" s="18"/>
    </row>
    <row r="271" spans="1:23" x14ac:dyDescent="0.3">
      <c r="A271" s="154"/>
      <c r="B271" s="154"/>
      <c r="C271" s="154"/>
      <c r="D271" s="154"/>
      <c r="E271" s="120" t="s">
        <v>841</v>
      </c>
      <c r="F271" s="123"/>
      <c r="G271" s="123"/>
      <c r="H271" s="123" t="s">
        <v>685</v>
      </c>
      <c r="I271" s="123" t="s">
        <v>356</v>
      </c>
      <c r="J271" s="123"/>
      <c r="K271" s="123"/>
      <c r="L271" s="123" t="s">
        <v>586</v>
      </c>
      <c r="M271" s="123"/>
      <c r="N271" s="123"/>
      <c r="O271" s="123"/>
      <c r="P271" s="123"/>
      <c r="Q271" s="123"/>
      <c r="R271" s="123"/>
      <c r="S271" s="18"/>
      <c r="T271" s="18"/>
      <c r="U271" s="18"/>
      <c r="V271" s="18"/>
      <c r="W271" s="18"/>
    </row>
    <row r="272" spans="1:23" x14ac:dyDescent="0.3">
      <c r="A272" s="154"/>
      <c r="B272" s="154"/>
      <c r="C272" s="154"/>
      <c r="D272" s="154"/>
      <c r="E272" s="120" t="s">
        <v>842</v>
      </c>
      <c r="F272" s="123"/>
      <c r="G272" s="123"/>
      <c r="H272" s="123" t="s">
        <v>685</v>
      </c>
      <c r="I272" s="123" t="s">
        <v>356</v>
      </c>
      <c r="J272" s="123"/>
      <c r="K272" s="123"/>
      <c r="L272" s="123" t="s">
        <v>586</v>
      </c>
      <c r="M272" s="123"/>
      <c r="N272" s="123"/>
      <c r="O272" s="123"/>
      <c r="P272" s="123"/>
      <c r="Q272" s="123"/>
      <c r="R272" s="123"/>
      <c r="S272" s="18"/>
      <c r="T272" s="18"/>
      <c r="U272" s="18"/>
      <c r="V272" s="18"/>
      <c r="W272" s="18"/>
    </row>
    <row r="273" spans="1:23" x14ac:dyDescent="0.3">
      <c r="A273" s="153"/>
      <c r="B273" s="153"/>
      <c r="C273" s="153"/>
      <c r="D273" s="153"/>
      <c r="E273" s="120" t="s">
        <v>843</v>
      </c>
      <c r="F273" s="123"/>
      <c r="G273" s="123"/>
      <c r="H273" s="123" t="s">
        <v>685</v>
      </c>
      <c r="I273" s="123" t="s">
        <v>356</v>
      </c>
      <c r="J273" s="123"/>
      <c r="K273" s="123"/>
      <c r="L273" s="123" t="s">
        <v>586</v>
      </c>
      <c r="M273" s="123"/>
      <c r="N273" s="123"/>
      <c r="O273" s="123"/>
      <c r="P273" s="123"/>
      <c r="Q273" s="123"/>
      <c r="R273" s="123"/>
      <c r="S273" s="18"/>
      <c r="T273" s="18"/>
      <c r="U273" s="18"/>
      <c r="V273" s="18"/>
      <c r="W273" s="18"/>
    </row>
    <row r="274" spans="1:23" x14ac:dyDescent="0.3">
      <c r="A274" s="97" t="s">
        <v>417</v>
      </c>
      <c r="B274" s="97" t="s">
        <v>671</v>
      </c>
      <c r="C274" s="97" t="s">
        <v>672</v>
      </c>
      <c r="D274" s="123" t="s">
        <v>844</v>
      </c>
      <c r="E274" s="95" t="s">
        <v>845</v>
      </c>
      <c r="F274" s="123" t="s">
        <v>33</v>
      </c>
      <c r="G274" s="123" t="s">
        <v>33</v>
      </c>
      <c r="H274" s="123" t="s">
        <v>685</v>
      </c>
      <c r="I274" s="123" t="s">
        <v>356</v>
      </c>
      <c r="J274" s="123" t="s">
        <v>33</v>
      </c>
      <c r="K274" s="123" t="s">
        <v>33</v>
      </c>
      <c r="L274" s="123" t="s">
        <v>675</v>
      </c>
      <c r="M274" s="123" t="s">
        <v>33</v>
      </c>
      <c r="N274" s="123" t="s">
        <v>33</v>
      </c>
      <c r="O274" s="123" t="s">
        <v>33</v>
      </c>
      <c r="P274" s="123" t="s">
        <v>33</v>
      </c>
      <c r="Q274" s="123" t="s">
        <v>33</v>
      </c>
      <c r="R274" s="123" t="s">
        <v>33</v>
      </c>
      <c r="S274" s="18"/>
      <c r="T274" s="18"/>
      <c r="U274" s="18"/>
      <c r="V274" s="18"/>
      <c r="W274" s="18"/>
    </row>
    <row r="275" spans="1:23" x14ac:dyDescent="0.3">
      <c r="A275" s="97" t="s">
        <v>682</v>
      </c>
      <c r="B275" s="97" t="s">
        <v>663</v>
      </c>
      <c r="C275" s="97" t="s">
        <v>659</v>
      </c>
      <c r="D275" s="123" t="s">
        <v>846</v>
      </c>
      <c r="E275" s="95" t="s">
        <v>847</v>
      </c>
      <c r="F275" s="123" t="s">
        <v>33</v>
      </c>
      <c r="G275" s="123" t="s">
        <v>33</v>
      </c>
      <c r="H275" s="123" t="s">
        <v>685</v>
      </c>
      <c r="I275" s="123" t="s">
        <v>356</v>
      </c>
      <c r="J275" s="123" t="s">
        <v>33</v>
      </c>
      <c r="K275" s="123" t="s">
        <v>33</v>
      </c>
      <c r="L275" s="123" t="s">
        <v>662</v>
      </c>
      <c r="M275" s="123" t="s">
        <v>33</v>
      </c>
      <c r="N275" s="123" t="s">
        <v>33</v>
      </c>
      <c r="O275" s="123" t="s">
        <v>33</v>
      </c>
      <c r="P275" s="123" t="s">
        <v>33</v>
      </c>
      <c r="Q275" s="123" t="s">
        <v>33</v>
      </c>
      <c r="R275" s="123" t="s">
        <v>33</v>
      </c>
      <c r="S275" s="18"/>
      <c r="T275" s="18"/>
      <c r="U275" s="18"/>
      <c r="V275" s="18"/>
      <c r="W275" s="18"/>
    </row>
    <row r="276" spans="1:23" x14ac:dyDescent="0.3">
      <c r="A276" s="97" t="s">
        <v>690</v>
      </c>
      <c r="B276" s="97" t="s">
        <v>848</v>
      </c>
      <c r="C276" s="97" t="s">
        <v>659</v>
      </c>
      <c r="D276" s="123" t="s">
        <v>849</v>
      </c>
      <c r="E276" s="95" t="s">
        <v>850</v>
      </c>
      <c r="F276" s="18"/>
      <c r="G276" s="127"/>
      <c r="H276" s="123" t="s">
        <v>685</v>
      </c>
      <c r="I276" s="123" t="s">
        <v>356</v>
      </c>
      <c r="J276" s="18"/>
      <c r="K276" s="18"/>
      <c r="L276" s="123" t="s">
        <v>662</v>
      </c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spans="1:23" x14ac:dyDescent="0.3">
      <c r="A277" s="18" t="s">
        <v>724</v>
      </c>
      <c r="B277" s="18" t="s">
        <v>851</v>
      </c>
      <c r="C277" s="18" t="s">
        <v>677</v>
      </c>
      <c r="D277" s="18" t="s">
        <v>852</v>
      </c>
      <c r="E277" s="18" t="s">
        <v>853</v>
      </c>
      <c r="F277" s="18"/>
      <c r="G277" s="18"/>
      <c r="H277" s="96" t="s">
        <v>685</v>
      </c>
      <c r="I277" s="18" t="s">
        <v>363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spans="1:23" x14ac:dyDescent="0.3">
      <c r="C278" s="128"/>
      <c r="D278" s="128"/>
      <c r="E278" s="47"/>
      <c r="F278" s="128"/>
      <c r="G278" s="128"/>
      <c r="H278" s="128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</row>
  </sheetData>
  <autoFilter ref="C1:V278" xr:uid="{00000000-0009-0000-0000-000005000000}"/>
  <mergeCells count="428">
    <mergeCell ref="B247:B251"/>
    <mergeCell ref="C247:C251"/>
    <mergeCell ref="D247:D251"/>
    <mergeCell ref="A259:A263"/>
    <mergeCell ref="B259:B263"/>
    <mergeCell ref="C259:C263"/>
    <mergeCell ref="D259:D263"/>
    <mergeCell ref="A264:A268"/>
    <mergeCell ref="B264:B268"/>
    <mergeCell ref="C264:C268"/>
    <mergeCell ref="D264:D268"/>
    <mergeCell ref="A269:A273"/>
    <mergeCell ref="A123:A127"/>
    <mergeCell ref="B123:B127"/>
    <mergeCell ref="C123:C127"/>
    <mergeCell ref="D123:D127"/>
    <mergeCell ref="A128:A131"/>
    <mergeCell ref="B128:B131"/>
    <mergeCell ref="C128:C131"/>
    <mergeCell ref="D128:D131"/>
    <mergeCell ref="A144:A148"/>
    <mergeCell ref="B144:B148"/>
    <mergeCell ref="C144:C148"/>
    <mergeCell ref="D144:D148"/>
    <mergeCell ref="A149:A153"/>
    <mergeCell ref="B149:B153"/>
    <mergeCell ref="C149:C153"/>
    <mergeCell ref="D149:D153"/>
    <mergeCell ref="A154:A158"/>
    <mergeCell ref="B154:B158"/>
    <mergeCell ref="C154:C158"/>
    <mergeCell ref="D154:D158"/>
    <mergeCell ref="A161:A165"/>
    <mergeCell ref="B161:B165"/>
    <mergeCell ref="C161:C165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52:A254"/>
    <mergeCell ref="A247:A251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06:A107"/>
    <mergeCell ref="A108:A109"/>
    <mergeCell ref="A110:A111"/>
    <mergeCell ref="A112:A113"/>
    <mergeCell ref="A114:A115"/>
    <mergeCell ref="A116:A117"/>
    <mergeCell ref="A132:A134"/>
    <mergeCell ref="A135:A137"/>
    <mergeCell ref="A173:A174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B233:B234"/>
    <mergeCell ref="B235:B236"/>
    <mergeCell ref="B237:B238"/>
    <mergeCell ref="B239:B240"/>
    <mergeCell ref="B241:B242"/>
    <mergeCell ref="B243:B244"/>
    <mergeCell ref="B252:B254"/>
    <mergeCell ref="B269:B27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10:B111"/>
    <mergeCell ref="B112:B113"/>
    <mergeCell ref="B114:B115"/>
    <mergeCell ref="B116:B117"/>
    <mergeCell ref="B132:B134"/>
    <mergeCell ref="B135:B137"/>
    <mergeCell ref="B173:B174"/>
    <mergeCell ref="B175:B176"/>
    <mergeCell ref="B177:B178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C269:C273"/>
    <mergeCell ref="D269:D273"/>
    <mergeCell ref="C252:C254"/>
    <mergeCell ref="D252:D254"/>
    <mergeCell ref="C2:C3"/>
    <mergeCell ref="D2:D3"/>
    <mergeCell ref="C4:C5"/>
    <mergeCell ref="D4:D5"/>
    <mergeCell ref="C6:C7"/>
    <mergeCell ref="C8:C9"/>
    <mergeCell ref="C10:C11"/>
    <mergeCell ref="C12:C13"/>
    <mergeCell ref="C14:C15"/>
    <mergeCell ref="C16:C17"/>
    <mergeCell ref="C18:C19"/>
    <mergeCell ref="C20:C21"/>
    <mergeCell ref="D161:D165"/>
    <mergeCell ref="D34:D35"/>
    <mergeCell ref="C36:C37"/>
    <mergeCell ref="D36:D37"/>
    <mergeCell ref="C38:C39"/>
    <mergeCell ref="D38:D39"/>
    <mergeCell ref="C32:C33"/>
    <mergeCell ref="C34:C3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C22:C23"/>
    <mergeCell ref="C24:C25"/>
    <mergeCell ref="C26:C27"/>
    <mergeCell ref="C28:C29"/>
    <mergeCell ref="C30:C31"/>
    <mergeCell ref="C46:C47"/>
    <mergeCell ref="D46:D47"/>
    <mergeCell ref="C48:C49"/>
    <mergeCell ref="D48:D49"/>
    <mergeCell ref="C50:C51"/>
    <mergeCell ref="D50:D51"/>
    <mergeCell ref="C40:C41"/>
    <mergeCell ref="D40:D41"/>
    <mergeCell ref="C42:C43"/>
    <mergeCell ref="D42:D43"/>
    <mergeCell ref="C44:C45"/>
    <mergeCell ref="D44:D45"/>
    <mergeCell ref="C58:C59"/>
    <mergeCell ref="D58:D59"/>
    <mergeCell ref="C60:C61"/>
    <mergeCell ref="D60:D61"/>
    <mergeCell ref="C62:C63"/>
    <mergeCell ref="D62:D63"/>
    <mergeCell ref="C52:C53"/>
    <mergeCell ref="D52:D53"/>
    <mergeCell ref="C54:C55"/>
    <mergeCell ref="D54:D55"/>
    <mergeCell ref="C56:C57"/>
    <mergeCell ref="D56:D57"/>
    <mergeCell ref="C70:C71"/>
    <mergeCell ref="D70:D71"/>
    <mergeCell ref="C72:C73"/>
    <mergeCell ref="D72:D73"/>
    <mergeCell ref="C74:C75"/>
    <mergeCell ref="D74:D75"/>
    <mergeCell ref="C64:C65"/>
    <mergeCell ref="D64:D65"/>
    <mergeCell ref="C66:C67"/>
    <mergeCell ref="D66:D67"/>
    <mergeCell ref="C68:C69"/>
    <mergeCell ref="D68:D69"/>
    <mergeCell ref="C82:C83"/>
    <mergeCell ref="D82:D83"/>
    <mergeCell ref="C84:C85"/>
    <mergeCell ref="D84:D85"/>
    <mergeCell ref="C86:C87"/>
    <mergeCell ref="D86:D87"/>
    <mergeCell ref="C76:C77"/>
    <mergeCell ref="D76:D77"/>
    <mergeCell ref="C78:C79"/>
    <mergeCell ref="D78:D79"/>
    <mergeCell ref="C80:C81"/>
    <mergeCell ref="D80:D81"/>
    <mergeCell ref="C94:C95"/>
    <mergeCell ref="D94:D95"/>
    <mergeCell ref="C96:C97"/>
    <mergeCell ref="D96:D97"/>
    <mergeCell ref="C98:C99"/>
    <mergeCell ref="D98:D99"/>
    <mergeCell ref="C88:C89"/>
    <mergeCell ref="D88:D89"/>
    <mergeCell ref="C90:C91"/>
    <mergeCell ref="D90:D91"/>
    <mergeCell ref="C92:C93"/>
    <mergeCell ref="D92:D93"/>
    <mergeCell ref="C106:C107"/>
    <mergeCell ref="D106:D107"/>
    <mergeCell ref="C108:C109"/>
    <mergeCell ref="D108:D109"/>
    <mergeCell ref="C110:C111"/>
    <mergeCell ref="D110:D111"/>
    <mergeCell ref="C100:C101"/>
    <mergeCell ref="D100:D101"/>
    <mergeCell ref="C102:C103"/>
    <mergeCell ref="D102:D103"/>
    <mergeCell ref="C104:C105"/>
    <mergeCell ref="D104:D105"/>
    <mergeCell ref="C112:C113"/>
    <mergeCell ref="D112:D113"/>
    <mergeCell ref="C114:C115"/>
    <mergeCell ref="D114:D115"/>
    <mergeCell ref="C116:C117"/>
    <mergeCell ref="D116:D117"/>
    <mergeCell ref="C132:C134"/>
    <mergeCell ref="C135:C137"/>
    <mergeCell ref="D132:D134"/>
    <mergeCell ref="D135:D137"/>
    <mergeCell ref="C179:C180"/>
    <mergeCell ref="D179:D180"/>
    <mergeCell ref="C181:C182"/>
    <mergeCell ref="D181:D182"/>
    <mergeCell ref="C183:C184"/>
    <mergeCell ref="D183:D184"/>
    <mergeCell ref="C173:C174"/>
    <mergeCell ref="D173:D174"/>
    <mergeCell ref="C175:C176"/>
    <mergeCell ref="D175:D176"/>
    <mergeCell ref="C177:C178"/>
    <mergeCell ref="D177:D178"/>
    <mergeCell ref="C191:C192"/>
    <mergeCell ref="D191:D192"/>
    <mergeCell ref="C193:C194"/>
    <mergeCell ref="D193:D194"/>
    <mergeCell ref="C195:C196"/>
    <mergeCell ref="D195:D196"/>
    <mergeCell ref="C185:C186"/>
    <mergeCell ref="D185:D186"/>
    <mergeCell ref="C187:C188"/>
    <mergeCell ref="D187:D188"/>
    <mergeCell ref="C189:C190"/>
    <mergeCell ref="D189:D190"/>
    <mergeCell ref="C203:C204"/>
    <mergeCell ref="D203:D204"/>
    <mergeCell ref="C205:C206"/>
    <mergeCell ref="D205:D206"/>
    <mergeCell ref="C207:C208"/>
    <mergeCell ref="D207:D208"/>
    <mergeCell ref="C197:C198"/>
    <mergeCell ref="D197:D198"/>
    <mergeCell ref="C199:C200"/>
    <mergeCell ref="D199:D200"/>
    <mergeCell ref="C201:C202"/>
    <mergeCell ref="D201:D202"/>
    <mergeCell ref="C215:C216"/>
    <mergeCell ref="D215:D216"/>
    <mergeCell ref="C217:C218"/>
    <mergeCell ref="D217:D218"/>
    <mergeCell ref="C219:C220"/>
    <mergeCell ref="D219:D220"/>
    <mergeCell ref="C209:C210"/>
    <mergeCell ref="D209:D210"/>
    <mergeCell ref="C211:C212"/>
    <mergeCell ref="D211:D212"/>
    <mergeCell ref="C213:C214"/>
    <mergeCell ref="D213:D214"/>
    <mergeCell ref="C241:C242"/>
    <mergeCell ref="D241:D242"/>
    <mergeCell ref="C243:C244"/>
    <mergeCell ref="D243:D244"/>
    <mergeCell ref="C233:C234"/>
    <mergeCell ref="D233:D234"/>
    <mergeCell ref="C235:C236"/>
    <mergeCell ref="D235:D236"/>
    <mergeCell ref="C237:C238"/>
    <mergeCell ref="D237:D238"/>
    <mergeCell ref="C227:C228"/>
    <mergeCell ref="D227:D228"/>
    <mergeCell ref="C229:C230"/>
    <mergeCell ref="D229:D230"/>
    <mergeCell ref="C231:C232"/>
    <mergeCell ref="D231:D232"/>
    <mergeCell ref="C221:C222"/>
    <mergeCell ref="D221:D222"/>
    <mergeCell ref="C239:C240"/>
    <mergeCell ref="D239:D240"/>
    <mergeCell ref="C223:C224"/>
    <mergeCell ref="D223:D224"/>
    <mergeCell ref="C225:C226"/>
    <mergeCell ref="D225:D22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57F0-F220-4531-A26C-4369742EAEDA}">
  <dimension ref="A1:V27"/>
  <sheetViews>
    <sheetView workbookViewId="0">
      <selection activeCell="P8" sqref="P8"/>
    </sheetView>
  </sheetViews>
  <sheetFormatPr defaultColWidth="8.88671875" defaultRowHeight="16.2" x14ac:dyDescent="0.3"/>
  <cols>
    <col min="1" max="8" width="2.88671875" bestFit="1" customWidth="1"/>
    <col min="9" max="9" width="3" customWidth="1"/>
    <col min="10" max="10" width="5.44140625" bestFit="1" customWidth="1"/>
    <col min="11" max="11" width="19" customWidth="1"/>
    <col min="12" max="12" width="3.109375" customWidth="1"/>
    <col min="13" max="13" width="23.109375" customWidth="1"/>
    <col min="14" max="14" width="5.44140625" bestFit="1" customWidth="1"/>
    <col min="15" max="15" width="3.44140625" customWidth="1"/>
    <col min="16" max="16" width="20.109375" customWidth="1"/>
    <col min="17" max="17" width="5.33203125" customWidth="1"/>
    <col min="18" max="18" width="3.109375" customWidth="1"/>
    <col min="19" max="19" width="25.88671875" customWidth="1"/>
    <col min="21" max="21" width="27" customWidth="1"/>
  </cols>
  <sheetData>
    <row r="1" spans="1:22" ht="16.8" thickBot="1" x14ac:dyDescent="0.35"/>
    <row r="2" spans="1:22" ht="20.399999999999999" thickBot="1" x14ac:dyDescent="0.35">
      <c r="A2" s="72">
        <v>1</v>
      </c>
      <c r="B2" s="73">
        <v>2</v>
      </c>
      <c r="C2" s="74">
        <v>3</v>
      </c>
      <c r="D2" s="75">
        <v>4</v>
      </c>
      <c r="E2" s="75">
        <v>5</v>
      </c>
      <c r="F2" s="75">
        <v>6</v>
      </c>
      <c r="G2" s="83">
        <v>7</v>
      </c>
      <c r="H2" s="83">
        <v>8</v>
      </c>
      <c r="J2" s="84" t="s">
        <v>854</v>
      </c>
      <c r="K2" s="84" t="s">
        <v>855</v>
      </c>
      <c r="L2" s="85"/>
      <c r="M2" s="86" t="s">
        <v>856</v>
      </c>
      <c r="N2" s="86" t="s">
        <v>857</v>
      </c>
      <c r="O2" s="85"/>
      <c r="P2" s="87" t="s">
        <v>858</v>
      </c>
      <c r="Q2" s="87" t="s">
        <v>857</v>
      </c>
      <c r="R2" s="88"/>
      <c r="S2" s="89" t="s">
        <v>859</v>
      </c>
      <c r="T2" s="89" t="s">
        <v>860</v>
      </c>
      <c r="U2" s="89" t="s">
        <v>859</v>
      </c>
      <c r="V2" s="89" t="s">
        <v>860</v>
      </c>
    </row>
    <row r="3" spans="1:22" x14ac:dyDescent="0.3">
      <c r="I3" s="77"/>
      <c r="J3" s="79">
        <v>1</v>
      </c>
      <c r="K3" s="70" t="s">
        <v>861</v>
      </c>
      <c r="M3" s="82" t="s">
        <v>862</v>
      </c>
      <c r="N3" s="82" t="s">
        <v>863</v>
      </c>
      <c r="P3" s="82" t="s">
        <v>864</v>
      </c>
      <c r="Q3" s="82" t="s">
        <v>865</v>
      </c>
      <c r="S3" s="70" t="s">
        <v>866</v>
      </c>
      <c r="T3" s="70" t="s">
        <v>867</v>
      </c>
      <c r="U3" s="91" t="s">
        <v>868</v>
      </c>
      <c r="V3" s="70" t="s">
        <v>869</v>
      </c>
    </row>
    <row r="4" spans="1:22" x14ac:dyDescent="0.3">
      <c r="I4" s="77"/>
      <c r="J4" s="79">
        <v>2</v>
      </c>
      <c r="K4" s="70" t="s">
        <v>856</v>
      </c>
      <c r="M4" s="82" t="s">
        <v>870</v>
      </c>
      <c r="N4" s="82" t="s">
        <v>871</v>
      </c>
      <c r="P4" s="82" t="s">
        <v>872</v>
      </c>
      <c r="Q4" s="82" t="s">
        <v>873</v>
      </c>
      <c r="S4" s="70" t="s">
        <v>874</v>
      </c>
      <c r="T4" s="70" t="s">
        <v>875</v>
      </c>
      <c r="U4" s="90" t="s">
        <v>876</v>
      </c>
      <c r="V4" s="100" t="s">
        <v>877</v>
      </c>
    </row>
    <row r="5" spans="1:22" ht="32.4" x14ac:dyDescent="0.3">
      <c r="C5" s="71"/>
      <c r="I5" s="77"/>
      <c r="J5" s="80">
        <v>3</v>
      </c>
      <c r="K5" s="70" t="s">
        <v>858</v>
      </c>
      <c r="M5" s="82" t="s">
        <v>878</v>
      </c>
      <c r="N5" s="82" t="s">
        <v>879</v>
      </c>
      <c r="P5" s="82" t="s">
        <v>880</v>
      </c>
      <c r="Q5" s="82" t="s">
        <v>881</v>
      </c>
      <c r="S5" s="70" t="s">
        <v>882</v>
      </c>
      <c r="T5" s="70" t="s">
        <v>883</v>
      </c>
      <c r="U5" s="90" t="s">
        <v>884</v>
      </c>
      <c r="V5" s="100" t="s">
        <v>885</v>
      </c>
    </row>
    <row r="6" spans="1:22" x14ac:dyDescent="0.3">
      <c r="I6" s="77"/>
      <c r="J6" s="80" t="s">
        <v>886</v>
      </c>
      <c r="K6" s="70" t="s">
        <v>860</v>
      </c>
      <c r="M6" s="82" t="s">
        <v>887</v>
      </c>
      <c r="N6" s="82" t="s">
        <v>888</v>
      </c>
      <c r="P6" s="82" t="s">
        <v>889</v>
      </c>
      <c r="Q6" s="82" t="s">
        <v>890</v>
      </c>
      <c r="S6" s="70" t="s">
        <v>891</v>
      </c>
      <c r="T6" s="70" t="s">
        <v>892</v>
      </c>
      <c r="U6" s="90" t="s">
        <v>893</v>
      </c>
      <c r="V6" s="100" t="s">
        <v>894</v>
      </c>
    </row>
    <row r="7" spans="1:22" ht="19.8" x14ac:dyDescent="0.3">
      <c r="C7" s="71"/>
      <c r="I7" s="77"/>
      <c r="J7" s="81" t="s">
        <v>895</v>
      </c>
      <c r="K7" s="70" t="s">
        <v>896</v>
      </c>
      <c r="M7" s="82" t="s">
        <v>897</v>
      </c>
      <c r="N7" s="82" t="s">
        <v>898</v>
      </c>
      <c r="P7" s="82" t="s">
        <v>899</v>
      </c>
      <c r="Q7" s="82" t="s">
        <v>900</v>
      </c>
      <c r="S7" s="70" t="s">
        <v>901</v>
      </c>
      <c r="T7" s="70" t="s">
        <v>220</v>
      </c>
      <c r="U7" s="101" t="s">
        <v>902</v>
      </c>
      <c r="V7" s="70" t="s">
        <v>903</v>
      </c>
    </row>
    <row r="8" spans="1:22" ht="19.8" x14ac:dyDescent="0.3">
      <c r="C8" s="71"/>
      <c r="I8" s="77"/>
      <c r="J8" s="78"/>
      <c r="M8" s="82" t="s">
        <v>904</v>
      </c>
      <c r="N8" s="82" t="s">
        <v>905</v>
      </c>
      <c r="P8" s="82" t="s">
        <v>147</v>
      </c>
      <c r="Q8" s="82" t="s">
        <v>906</v>
      </c>
      <c r="S8" s="70" t="s">
        <v>907</v>
      </c>
      <c r="T8" s="70" t="s">
        <v>209</v>
      </c>
      <c r="U8" s="70" t="s">
        <v>908</v>
      </c>
      <c r="V8" s="70" t="s">
        <v>909</v>
      </c>
    </row>
    <row r="9" spans="1:22" x14ac:dyDescent="0.3">
      <c r="I9" s="77"/>
      <c r="J9" s="78"/>
      <c r="M9" s="82" t="s">
        <v>910</v>
      </c>
      <c r="N9" s="82" t="s">
        <v>911</v>
      </c>
      <c r="P9" s="82" t="s">
        <v>912</v>
      </c>
      <c r="Q9" s="82" t="s">
        <v>913</v>
      </c>
      <c r="S9" s="70" t="s">
        <v>914</v>
      </c>
      <c r="T9" s="70" t="s">
        <v>915</v>
      </c>
      <c r="U9" s="70" t="s">
        <v>916</v>
      </c>
      <c r="V9" s="70" t="s">
        <v>917</v>
      </c>
    </row>
    <row r="10" spans="1:22" x14ac:dyDescent="0.3">
      <c r="I10" s="77"/>
      <c r="J10" s="76"/>
      <c r="M10" s="82" t="s">
        <v>918</v>
      </c>
      <c r="N10" s="82" t="s">
        <v>919</v>
      </c>
      <c r="P10" s="99" t="s">
        <v>920</v>
      </c>
      <c r="Q10" s="99" t="s">
        <v>921</v>
      </c>
      <c r="S10" s="70" t="s">
        <v>922</v>
      </c>
      <c r="T10" s="70" t="s">
        <v>923</v>
      </c>
      <c r="U10" s="70" t="s">
        <v>924</v>
      </c>
      <c r="V10" s="70" t="s">
        <v>925</v>
      </c>
    </row>
    <row r="11" spans="1:22" x14ac:dyDescent="0.3">
      <c r="M11" s="82" t="s">
        <v>926</v>
      </c>
      <c r="N11" s="82" t="s">
        <v>927</v>
      </c>
      <c r="P11" s="99" t="s">
        <v>928</v>
      </c>
      <c r="Q11" s="99" t="s">
        <v>927</v>
      </c>
      <c r="S11" s="70" t="s">
        <v>929</v>
      </c>
      <c r="T11" s="70" t="s">
        <v>930</v>
      </c>
      <c r="U11" s="70" t="s">
        <v>931</v>
      </c>
      <c r="V11" s="70" t="s">
        <v>932</v>
      </c>
    </row>
    <row r="12" spans="1:22" x14ac:dyDescent="0.3">
      <c r="S12" s="70" t="s">
        <v>933</v>
      </c>
      <c r="T12" s="70" t="s">
        <v>934</v>
      </c>
      <c r="U12" s="70" t="s">
        <v>935</v>
      </c>
      <c r="V12" s="70" t="s">
        <v>936</v>
      </c>
    </row>
    <row r="13" spans="1:22" x14ac:dyDescent="0.3">
      <c r="S13" s="70" t="s">
        <v>937</v>
      </c>
      <c r="T13" s="70" t="s">
        <v>938</v>
      </c>
      <c r="U13" s="70" t="s">
        <v>939</v>
      </c>
      <c r="V13" s="70" t="s">
        <v>940</v>
      </c>
    </row>
    <row r="14" spans="1:22" x14ac:dyDescent="0.3">
      <c r="S14" s="70" t="s">
        <v>941</v>
      </c>
      <c r="T14" s="70" t="s">
        <v>942</v>
      </c>
      <c r="U14" s="98" t="s">
        <v>943</v>
      </c>
      <c r="V14" s="98" t="s">
        <v>944</v>
      </c>
    </row>
    <row r="15" spans="1:22" x14ac:dyDescent="0.3">
      <c r="S15" s="70" t="s">
        <v>945</v>
      </c>
      <c r="T15" s="70" t="s">
        <v>946</v>
      </c>
      <c r="U15" s="98" t="s">
        <v>947</v>
      </c>
      <c r="V15" s="98" t="s">
        <v>948</v>
      </c>
    </row>
    <row r="16" spans="1:22" x14ac:dyDescent="0.3">
      <c r="S16" s="70" t="s">
        <v>949</v>
      </c>
      <c r="T16" s="70" t="s">
        <v>950</v>
      </c>
      <c r="U16" s="98" t="s">
        <v>951</v>
      </c>
      <c r="V16" s="98" t="s">
        <v>952</v>
      </c>
    </row>
    <row r="17" spans="19:22" x14ac:dyDescent="0.3">
      <c r="S17" s="70" t="s">
        <v>953</v>
      </c>
      <c r="T17" s="70" t="s">
        <v>954</v>
      </c>
      <c r="U17" s="103" t="s">
        <v>955</v>
      </c>
      <c r="V17" s="104" t="s">
        <v>956</v>
      </c>
    </row>
    <row r="18" spans="19:22" x14ac:dyDescent="0.3">
      <c r="S18" s="90" t="s">
        <v>957</v>
      </c>
      <c r="T18" s="90" t="s">
        <v>958</v>
      </c>
      <c r="U18" s="102" t="s">
        <v>959</v>
      </c>
      <c r="V18" s="105" t="s">
        <v>960</v>
      </c>
    </row>
    <row r="19" spans="19:22" x14ac:dyDescent="0.3">
      <c r="S19" s="106" t="s">
        <v>961</v>
      </c>
      <c r="T19" s="106" t="s">
        <v>962</v>
      </c>
      <c r="U19" s="102" t="s">
        <v>963</v>
      </c>
      <c r="V19" s="102" t="s">
        <v>964</v>
      </c>
    </row>
    <row r="20" spans="19:22" x14ac:dyDescent="0.3">
      <c r="S20" s="70" t="s">
        <v>965</v>
      </c>
      <c r="T20" s="70" t="s">
        <v>966</v>
      </c>
      <c r="U20" s="102" t="s">
        <v>967</v>
      </c>
      <c r="V20" s="102" t="s">
        <v>968</v>
      </c>
    </row>
    <row r="21" spans="19:22" x14ac:dyDescent="0.3">
      <c r="S21" s="70" t="s">
        <v>969</v>
      </c>
      <c r="T21" s="70" t="s">
        <v>970</v>
      </c>
      <c r="U21" s="102" t="s">
        <v>971</v>
      </c>
      <c r="V21" s="102" t="s">
        <v>972</v>
      </c>
    </row>
    <row r="22" spans="19:22" x14ac:dyDescent="0.3">
      <c r="S22" s="70" t="s">
        <v>973</v>
      </c>
      <c r="T22" s="70" t="s">
        <v>974</v>
      </c>
      <c r="U22" s="102" t="s">
        <v>975</v>
      </c>
      <c r="V22" s="102" t="s">
        <v>976</v>
      </c>
    </row>
    <row r="23" spans="19:22" x14ac:dyDescent="0.3">
      <c r="S23" s="70" t="s">
        <v>977</v>
      </c>
      <c r="T23" s="70" t="s">
        <v>978</v>
      </c>
      <c r="U23" s="91" t="s">
        <v>979</v>
      </c>
      <c r="V23" s="91" t="s">
        <v>980</v>
      </c>
    </row>
    <row r="24" spans="19:22" x14ac:dyDescent="0.3">
      <c r="S24" s="70" t="s">
        <v>981</v>
      </c>
      <c r="T24" s="70" t="s">
        <v>982</v>
      </c>
      <c r="U24" s="70" t="s">
        <v>983</v>
      </c>
      <c r="V24" s="70" t="s">
        <v>984</v>
      </c>
    </row>
    <row r="25" spans="19:22" x14ac:dyDescent="0.3">
      <c r="S25" s="70" t="s">
        <v>985</v>
      </c>
      <c r="T25" s="70" t="s">
        <v>986</v>
      </c>
      <c r="U25" s="98" t="s">
        <v>987</v>
      </c>
      <c r="V25" s="98" t="s">
        <v>988</v>
      </c>
    </row>
    <row r="26" spans="19:22" x14ac:dyDescent="0.3">
      <c r="S26" s="70" t="s">
        <v>989</v>
      </c>
      <c r="T26" s="70" t="s">
        <v>990</v>
      </c>
      <c r="U26" s="98" t="s">
        <v>189</v>
      </c>
      <c r="V26" s="142" t="s">
        <v>187</v>
      </c>
    </row>
    <row r="27" spans="19:22" x14ac:dyDescent="0.3">
      <c r="U27" s="141"/>
      <c r="V27" s="140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7"/>
  <sheetViews>
    <sheetView workbookViewId="0">
      <selection activeCell="C20" sqref="C20"/>
    </sheetView>
  </sheetViews>
  <sheetFormatPr defaultColWidth="8.88671875" defaultRowHeight="16.2" x14ac:dyDescent="0.3"/>
  <cols>
    <col min="1" max="1" width="15.33203125" customWidth="1"/>
    <col min="3" max="3" width="22.33203125" customWidth="1"/>
    <col min="6" max="6" width="11.6640625" customWidth="1"/>
    <col min="8" max="8" width="28.6640625" customWidth="1"/>
    <col min="10" max="10" width="6.88671875" customWidth="1"/>
    <col min="11" max="11" width="14.44140625" customWidth="1"/>
    <col min="13" max="13" width="25.109375" bestFit="1" customWidth="1"/>
    <col min="14" max="15" width="8.88671875" customWidth="1"/>
    <col min="16" max="16" width="15.33203125" customWidth="1"/>
    <col min="18" max="18" width="45.109375" customWidth="1"/>
  </cols>
  <sheetData>
    <row r="1" spans="1:19" ht="20.399999999999999" thickBot="1" x14ac:dyDescent="0.35">
      <c r="A1" s="161" t="s">
        <v>991</v>
      </c>
      <c r="B1" s="162"/>
      <c r="C1" s="162"/>
      <c r="D1" s="163"/>
      <c r="F1" s="161" t="s">
        <v>992</v>
      </c>
      <c r="G1" s="162"/>
      <c r="H1" s="162"/>
      <c r="I1" s="163"/>
      <c r="K1" s="54" t="s">
        <v>993</v>
      </c>
      <c r="L1" s="55"/>
      <c r="M1" s="55"/>
      <c r="N1" s="56"/>
      <c r="P1" s="161" t="s">
        <v>994</v>
      </c>
      <c r="Q1" s="162"/>
      <c r="R1" s="162"/>
      <c r="S1" s="163"/>
    </row>
    <row r="2" spans="1:19" ht="33" thickBot="1" x14ac:dyDescent="0.35">
      <c r="A2" s="57" t="s">
        <v>995</v>
      </c>
      <c r="B2" s="53" t="s">
        <v>996</v>
      </c>
      <c r="C2" s="53" t="s">
        <v>997</v>
      </c>
      <c r="D2" s="53" t="s">
        <v>998</v>
      </c>
      <c r="F2" s="57" t="s">
        <v>995</v>
      </c>
      <c r="G2" s="53" t="s">
        <v>999</v>
      </c>
      <c r="H2" s="53" t="s">
        <v>997</v>
      </c>
      <c r="I2" s="53" t="s">
        <v>998</v>
      </c>
      <c r="K2" s="57" t="s">
        <v>995</v>
      </c>
      <c r="L2" s="53" t="s">
        <v>996</v>
      </c>
      <c r="M2" s="53" t="s">
        <v>997</v>
      </c>
      <c r="N2" s="53" t="s">
        <v>998</v>
      </c>
      <c r="P2" s="57" t="s">
        <v>995</v>
      </c>
      <c r="Q2" s="53" t="s">
        <v>996</v>
      </c>
      <c r="R2" s="53" t="s">
        <v>997</v>
      </c>
      <c r="S2" s="53" t="s">
        <v>998</v>
      </c>
    </row>
    <row r="3" spans="1:19" ht="16.8" thickBot="1" x14ac:dyDescent="0.35">
      <c r="A3" s="52" t="s">
        <v>1000</v>
      </c>
      <c r="B3" s="158" t="s">
        <v>1001</v>
      </c>
      <c r="C3" s="46" t="s">
        <v>1002</v>
      </c>
      <c r="D3" s="58" t="s">
        <v>1003</v>
      </c>
      <c r="F3" s="60" t="s">
        <v>1000</v>
      </c>
      <c r="G3" s="158" t="s">
        <v>1004</v>
      </c>
      <c r="H3" s="46" t="s">
        <v>1002</v>
      </c>
      <c r="I3" s="61" t="s">
        <v>1003</v>
      </c>
      <c r="K3" s="52" t="s">
        <v>1000</v>
      </c>
      <c r="L3" s="158" t="s">
        <v>1001</v>
      </c>
      <c r="M3" s="46" t="s">
        <v>1002</v>
      </c>
      <c r="N3" s="58" t="s">
        <v>1003</v>
      </c>
      <c r="P3" s="52" t="s">
        <v>1005</v>
      </c>
      <c r="Q3" s="155" t="s">
        <v>1006</v>
      </c>
      <c r="R3" s="46" t="s">
        <v>1007</v>
      </c>
      <c r="S3" s="58" t="s">
        <v>1008</v>
      </c>
    </row>
    <row r="4" spans="1:19" ht="16.8" thickBot="1" x14ac:dyDescent="0.35">
      <c r="A4" s="52" t="s">
        <v>1009</v>
      </c>
      <c r="B4" s="159"/>
      <c r="C4" s="46" t="s">
        <v>1010</v>
      </c>
      <c r="D4" s="58" t="s">
        <v>1011</v>
      </c>
      <c r="F4" s="158" t="s">
        <v>1012</v>
      </c>
      <c r="G4" s="159"/>
      <c r="H4" s="59" t="s">
        <v>1013</v>
      </c>
      <c r="I4" s="155" t="s">
        <v>1014</v>
      </c>
      <c r="K4" s="52" t="s">
        <v>1015</v>
      </c>
      <c r="L4" s="159"/>
      <c r="M4" s="46" t="s">
        <v>1016</v>
      </c>
      <c r="N4" s="58" t="s">
        <v>1003</v>
      </c>
      <c r="P4" s="52" t="s">
        <v>1005</v>
      </c>
      <c r="Q4" s="156"/>
      <c r="R4" s="46" t="s">
        <v>1017</v>
      </c>
      <c r="S4" s="58" t="s">
        <v>1018</v>
      </c>
    </row>
    <row r="5" spans="1:19" ht="16.8" thickBot="1" x14ac:dyDescent="0.35">
      <c r="A5" s="52" t="s">
        <v>1019</v>
      </c>
      <c r="B5" s="159"/>
      <c r="C5" s="46" t="s">
        <v>1020</v>
      </c>
      <c r="D5" s="58" t="s">
        <v>1021</v>
      </c>
      <c r="F5" s="164"/>
      <c r="G5" s="159"/>
      <c r="H5" s="59" t="s">
        <v>1022</v>
      </c>
      <c r="I5" s="156"/>
      <c r="K5" s="52" t="s">
        <v>1023</v>
      </c>
      <c r="L5" s="159"/>
      <c r="M5" s="46" t="s">
        <v>1024</v>
      </c>
      <c r="N5" s="58" t="s">
        <v>1003</v>
      </c>
      <c r="P5" s="52" t="s">
        <v>1025</v>
      </c>
      <c r="Q5" s="156"/>
      <c r="R5" s="46" t="s">
        <v>1026</v>
      </c>
      <c r="S5" s="58" t="s">
        <v>1027</v>
      </c>
    </row>
    <row r="6" spans="1:19" ht="16.8" thickBot="1" x14ac:dyDescent="0.35">
      <c r="A6" s="52" t="s">
        <v>1015</v>
      </c>
      <c r="B6" s="159"/>
      <c r="C6" s="46" t="s">
        <v>1016</v>
      </c>
      <c r="D6" s="58" t="s">
        <v>1003</v>
      </c>
      <c r="F6" s="165"/>
      <c r="G6" s="159"/>
      <c r="H6" s="46" t="s">
        <v>1028</v>
      </c>
      <c r="I6" s="157"/>
      <c r="K6" s="52" t="s">
        <v>1029</v>
      </c>
      <c r="L6" s="159"/>
      <c r="M6" s="46" t="s">
        <v>1030</v>
      </c>
      <c r="N6" s="58" t="s">
        <v>1003</v>
      </c>
      <c r="P6" s="52" t="s">
        <v>1031</v>
      </c>
      <c r="Q6" s="157"/>
      <c r="R6" s="46" t="s">
        <v>1026</v>
      </c>
      <c r="S6" s="58" t="s">
        <v>1032</v>
      </c>
    </row>
    <row r="7" spans="1:19" ht="16.8" thickBot="1" x14ac:dyDescent="0.35">
      <c r="A7" s="52" t="s">
        <v>1023</v>
      </c>
      <c r="B7" s="159"/>
      <c r="C7" s="46" t="s">
        <v>1024</v>
      </c>
      <c r="D7" s="58" t="s">
        <v>1003</v>
      </c>
      <c r="F7" s="60" t="s">
        <v>1009</v>
      </c>
      <c r="G7" s="159"/>
      <c r="H7" s="46" t="s">
        <v>1010</v>
      </c>
      <c r="I7" s="61" t="s">
        <v>1011</v>
      </c>
      <c r="K7" s="52" t="s">
        <v>1033</v>
      </c>
      <c r="L7" s="159"/>
      <c r="M7" s="46" t="s">
        <v>1034</v>
      </c>
      <c r="N7" s="58" t="s">
        <v>1003</v>
      </c>
    </row>
    <row r="8" spans="1:19" ht="16.8" thickBot="1" x14ac:dyDescent="0.35">
      <c r="A8" s="52" t="s">
        <v>1029</v>
      </c>
      <c r="B8" s="159"/>
      <c r="C8" s="46" t="s">
        <v>1030</v>
      </c>
      <c r="D8" s="58" t="s">
        <v>1003</v>
      </c>
      <c r="F8" s="60" t="s">
        <v>1019</v>
      </c>
      <c r="G8" s="159"/>
      <c r="H8" s="46" t="s">
        <v>1020</v>
      </c>
      <c r="I8" s="61" t="s">
        <v>1021</v>
      </c>
      <c r="K8" s="52" t="s">
        <v>1035</v>
      </c>
      <c r="L8" s="159"/>
      <c r="M8" s="46" t="s">
        <v>1036</v>
      </c>
      <c r="N8" s="58" t="s">
        <v>1003</v>
      </c>
    </row>
    <row r="9" spans="1:19" ht="16.8" thickBot="1" x14ac:dyDescent="0.35">
      <c r="A9" s="52" t="s">
        <v>1033</v>
      </c>
      <c r="B9" s="159"/>
      <c r="C9" s="46" t="s">
        <v>1034</v>
      </c>
      <c r="D9" s="58" t="s">
        <v>1003</v>
      </c>
      <c r="F9" s="60" t="s">
        <v>1015</v>
      </c>
      <c r="G9" s="159"/>
      <c r="H9" s="46" t="s">
        <v>1016</v>
      </c>
      <c r="I9" s="61" t="s">
        <v>1003</v>
      </c>
      <c r="K9" s="52" t="s">
        <v>1037</v>
      </c>
      <c r="L9" s="159"/>
      <c r="M9" s="46" t="s">
        <v>1038</v>
      </c>
      <c r="N9" s="58" t="s">
        <v>1003</v>
      </c>
    </row>
    <row r="10" spans="1:19" ht="16.8" thickBot="1" x14ac:dyDescent="0.35">
      <c r="A10" s="52" t="s">
        <v>1035</v>
      </c>
      <c r="B10" s="159"/>
      <c r="C10" s="46" t="s">
        <v>1036</v>
      </c>
      <c r="D10" s="58" t="s">
        <v>1003</v>
      </c>
      <c r="F10" s="52" t="s">
        <v>1023</v>
      </c>
      <c r="G10" s="159"/>
      <c r="H10" s="46" t="s">
        <v>1024</v>
      </c>
      <c r="I10" s="58" t="s">
        <v>1003</v>
      </c>
      <c r="K10" s="52" t="s">
        <v>1039</v>
      </c>
      <c r="L10" s="160"/>
      <c r="M10" s="46" t="s">
        <v>1040</v>
      </c>
      <c r="N10" s="58" t="s">
        <v>1041</v>
      </c>
    </row>
    <row r="11" spans="1:19" ht="16.8" thickBot="1" x14ac:dyDescent="0.35">
      <c r="A11" s="52" t="s">
        <v>1037</v>
      </c>
      <c r="B11" s="159"/>
      <c r="C11" s="46" t="s">
        <v>1038</v>
      </c>
      <c r="D11" s="58" t="s">
        <v>1003</v>
      </c>
      <c r="F11" s="52" t="s">
        <v>1029</v>
      </c>
      <c r="G11" s="159"/>
      <c r="H11" s="46" t="s">
        <v>1030</v>
      </c>
      <c r="I11" s="58" t="s">
        <v>1003</v>
      </c>
    </row>
    <row r="12" spans="1:19" ht="31.8" thickBot="1" x14ac:dyDescent="0.35">
      <c r="A12" s="52" t="s">
        <v>1025</v>
      </c>
      <c r="B12" s="159"/>
      <c r="C12" s="46"/>
      <c r="D12" s="58" t="s">
        <v>1042</v>
      </c>
      <c r="F12" s="52" t="s">
        <v>1033</v>
      </c>
      <c r="G12" s="159"/>
      <c r="H12" s="46" t="s">
        <v>1034</v>
      </c>
      <c r="I12" s="58" t="s">
        <v>1003</v>
      </c>
    </row>
    <row r="13" spans="1:19" ht="16.8" thickBot="1" x14ac:dyDescent="0.35">
      <c r="A13" s="52" t="s">
        <v>1043</v>
      </c>
      <c r="B13" s="159"/>
      <c r="C13" s="46"/>
      <c r="D13" s="58" t="s">
        <v>1044</v>
      </c>
      <c r="F13" s="60" t="s">
        <v>1035</v>
      </c>
      <c r="G13" s="159"/>
      <c r="H13" s="46" t="s">
        <v>1036</v>
      </c>
      <c r="I13" s="61" t="s">
        <v>1003</v>
      </c>
    </row>
    <row r="14" spans="1:19" ht="16.8" thickBot="1" x14ac:dyDescent="0.35">
      <c r="A14" s="52" t="s">
        <v>1045</v>
      </c>
      <c r="B14" s="160"/>
      <c r="C14" s="46"/>
      <c r="D14" s="58"/>
      <c r="F14" s="60" t="s">
        <v>1037</v>
      </c>
      <c r="G14" s="159"/>
      <c r="H14" s="46" t="s">
        <v>1038</v>
      </c>
      <c r="I14" s="61" t="s">
        <v>1003</v>
      </c>
    </row>
    <row r="15" spans="1:19" ht="16.8" thickBot="1" x14ac:dyDescent="0.35">
      <c r="A15" s="52" t="s">
        <v>1039</v>
      </c>
      <c r="B15" s="168" t="s">
        <v>1046</v>
      </c>
      <c r="C15" s="46" t="s">
        <v>1047</v>
      </c>
      <c r="D15" s="58" t="s">
        <v>1011</v>
      </c>
      <c r="F15" s="60" t="s">
        <v>1025</v>
      </c>
      <c r="G15" s="159"/>
      <c r="H15" s="46"/>
      <c r="I15" s="61" t="s">
        <v>1042</v>
      </c>
    </row>
    <row r="16" spans="1:19" ht="20.399999999999999" thickBot="1" x14ac:dyDescent="0.35">
      <c r="A16" s="52"/>
      <c r="B16" s="169"/>
      <c r="C16" s="46" t="s">
        <v>1048</v>
      </c>
      <c r="D16" s="58" t="s">
        <v>1003</v>
      </c>
      <c r="F16" s="60" t="s">
        <v>1049</v>
      </c>
      <c r="G16" s="159"/>
      <c r="H16" s="46"/>
      <c r="I16" s="61" t="s">
        <v>1044</v>
      </c>
      <c r="P16" s="161" t="s">
        <v>1050</v>
      </c>
      <c r="Q16" s="162"/>
      <c r="R16" s="162"/>
      <c r="S16" s="163"/>
    </row>
    <row r="17" spans="1:19" ht="33" thickBot="1" x14ac:dyDescent="0.35">
      <c r="A17" s="166" t="s">
        <v>1051</v>
      </c>
      <c r="F17" s="60" t="s">
        <v>1045</v>
      </c>
      <c r="G17" s="160"/>
      <c r="H17" s="46"/>
      <c r="I17" s="61" t="s">
        <v>1052</v>
      </c>
      <c r="P17" s="57" t="s">
        <v>995</v>
      </c>
      <c r="Q17" s="53" t="s">
        <v>996</v>
      </c>
      <c r="R17" s="53" t="s">
        <v>997</v>
      </c>
      <c r="S17" s="53" t="s">
        <v>998</v>
      </c>
    </row>
    <row r="18" spans="1:19" ht="16.8" thickBot="1" x14ac:dyDescent="0.35">
      <c r="A18" s="167"/>
      <c r="P18" s="52" t="s">
        <v>1005</v>
      </c>
      <c r="Q18" s="155" t="s">
        <v>1006</v>
      </c>
      <c r="R18" s="46" t="s">
        <v>1007</v>
      </c>
      <c r="S18" s="58" t="s">
        <v>1008</v>
      </c>
    </row>
    <row r="19" spans="1:19" ht="20.399999999999999" thickBot="1" x14ac:dyDescent="0.35">
      <c r="A19" s="167"/>
      <c r="K19" s="54" t="s">
        <v>1053</v>
      </c>
      <c r="L19" s="55"/>
      <c r="M19" s="55"/>
      <c r="N19" s="56"/>
      <c r="P19" s="52" t="s">
        <v>1005</v>
      </c>
      <c r="Q19" s="156"/>
      <c r="R19" s="46" t="s">
        <v>1017</v>
      </c>
      <c r="S19" s="58" t="s">
        <v>1018</v>
      </c>
    </row>
    <row r="20" spans="1:19" ht="33" thickBot="1" x14ac:dyDescent="0.35">
      <c r="A20" s="167"/>
      <c r="F20" s="161" t="s">
        <v>1054</v>
      </c>
      <c r="G20" s="162"/>
      <c r="H20" s="162"/>
      <c r="I20" s="163"/>
      <c r="K20" s="57" t="s">
        <v>995</v>
      </c>
      <c r="L20" s="53" t="s">
        <v>996</v>
      </c>
      <c r="M20" s="53" t="s">
        <v>997</v>
      </c>
      <c r="N20" s="53" t="s">
        <v>998</v>
      </c>
      <c r="P20" s="52" t="s">
        <v>1025</v>
      </c>
      <c r="Q20" s="156"/>
      <c r="R20" s="46" t="s">
        <v>1026</v>
      </c>
      <c r="S20" s="58" t="s">
        <v>1027</v>
      </c>
    </row>
    <row r="21" spans="1:19" ht="33" thickBot="1" x14ac:dyDescent="0.35">
      <c r="A21" s="167"/>
      <c r="F21" s="57" t="s">
        <v>995</v>
      </c>
      <c r="G21" s="53" t="s">
        <v>999</v>
      </c>
      <c r="H21" s="53" t="s">
        <v>997</v>
      </c>
      <c r="I21" s="53" t="s">
        <v>998</v>
      </c>
      <c r="K21" s="52" t="s">
        <v>1000</v>
      </c>
      <c r="L21" s="118" t="s">
        <v>1001</v>
      </c>
      <c r="M21" s="46" t="s">
        <v>1002</v>
      </c>
      <c r="N21" s="58" t="s">
        <v>1003</v>
      </c>
      <c r="P21" s="52" t="s">
        <v>1031</v>
      </c>
      <c r="Q21" s="157"/>
      <c r="R21" s="46" t="s">
        <v>1026</v>
      </c>
      <c r="S21" s="58" t="s">
        <v>1032</v>
      </c>
    </row>
    <row r="22" spans="1:19" ht="16.8" thickBot="1" x14ac:dyDescent="0.35">
      <c r="A22" s="167"/>
      <c r="F22" s="60" t="s">
        <v>1000</v>
      </c>
      <c r="G22" s="158" t="s">
        <v>1004</v>
      </c>
      <c r="H22" s="46" t="s">
        <v>1002</v>
      </c>
      <c r="I22" s="61" t="s">
        <v>1003</v>
      </c>
      <c r="K22" s="52" t="s">
        <v>1009</v>
      </c>
      <c r="L22" s="119"/>
      <c r="M22" s="46" t="s">
        <v>1055</v>
      </c>
      <c r="N22" s="58" t="s">
        <v>1011</v>
      </c>
      <c r="P22" s="63" t="s">
        <v>1056</v>
      </c>
      <c r="Q22" s="62" t="s">
        <v>1006</v>
      </c>
      <c r="R22" s="65" t="s">
        <v>1057</v>
      </c>
      <c r="S22" s="58" t="s">
        <v>1058</v>
      </c>
    </row>
    <row r="23" spans="1:19" ht="16.8" thickBot="1" x14ac:dyDescent="0.35">
      <c r="F23" s="158" t="s">
        <v>1012</v>
      </c>
      <c r="G23" s="159"/>
      <c r="H23" s="59" t="s">
        <v>1013</v>
      </c>
      <c r="I23" s="155" t="s">
        <v>1059</v>
      </c>
      <c r="K23" s="52" t="s">
        <v>1015</v>
      </c>
      <c r="L23" s="119"/>
      <c r="M23" s="46" t="s">
        <v>1016</v>
      </c>
      <c r="N23" s="58" t="s">
        <v>1003</v>
      </c>
      <c r="P23" s="63" t="s">
        <v>1060</v>
      </c>
      <c r="Q23" s="62" t="s">
        <v>1006</v>
      </c>
      <c r="R23" s="65" t="s">
        <v>1061</v>
      </c>
      <c r="S23" s="58" t="s">
        <v>1062</v>
      </c>
    </row>
    <row r="24" spans="1:19" ht="16.8" thickBot="1" x14ac:dyDescent="0.35">
      <c r="F24" s="164"/>
      <c r="G24" s="159"/>
      <c r="H24" s="59" t="s">
        <v>1022</v>
      </c>
      <c r="I24" s="156"/>
      <c r="K24" s="52" t="s">
        <v>1023</v>
      </c>
      <c r="L24" s="119"/>
      <c r="M24" s="46" t="s">
        <v>1024</v>
      </c>
      <c r="N24" s="58" t="s">
        <v>1003</v>
      </c>
      <c r="P24" s="63" t="s">
        <v>1063</v>
      </c>
      <c r="Q24" s="62" t="s">
        <v>1006</v>
      </c>
      <c r="R24" s="65" t="s">
        <v>1064</v>
      </c>
      <c r="S24" s="58" t="s">
        <v>1065</v>
      </c>
    </row>
    <row r="25" spans="1:19" ht="16.8" thickBot="1" x14ac:dyDescent="0.35">
      <c r="F25" s="165"/>
      <c r="G25" s="159"/>
      <c r="H25" s="46" t="s">
        <v>1028</v>
      </c>
      <c r="I25" s="157"/>
      <c r="K25" s="52" t="s">
        <v>1029</v>
      </c>
      <c r="L25" s="119"/>
      <c r="M25" s="46" t="s">
        <v>1030</v>
      </c>
      <c r="N25" s="58" t="s">
        <v>1003</v>
      </c>
      <c r="P25" s="63" t="s">
        <v>1066</v>
      </c>
      <c r="Q25" s="64" t="s">
        <v>1006</v>
      </c>
      <c r="R25" s="65" t="s">
        <v>1067</v>
      </c>
      <c r="S25" s="58" t="s">
        <v>1068</v>
      </c>
    </row>
    <row r="26" spans="1:19" ht="16.8" thickBot="1" x14ac:dyDescent="0.35">
      <c r="F26" s="60" t="s">
        <v>1009</v>
      </c>
      <c r="G26" s="159"/>
      <c r="H26" s="46" t="s">
        <v>1010</v>
      </c>
      <c r="I26" s="61" t="s">
        <v>1011</v>
      </c>
      <c r="K26" s="52" t="s">
        <v>1033</v>
      </c>
      <c r="L26" s="119"/>
      <c r="M26" s="46" t="s">
        <v>1034</v>
      </c>
      <c r="N26" s="58" t="s">
        <v>1003</v>
      </c>
    </row>
    <row r="27" spans="1:19" ht="16.8" thickBot="1" x14ac:dyDescent="0.35">
      <c r="F27" s="60" t="s">
        <v>1019</v>
      </c>
      <c r="G27" s="159"/>
      <c r="H27" s="46" t="s">
        <v>1020</v>
      </c>
      <c r="I27" s="61" t="s">
        <v>1021</v>
      </c>
      <c r="K27" s="52" t="s">
        <v>1035</v>
      </c>
      <c r="L27" s="119"/>
      <c r="M27" s="46" t="s">
        <v>1036</v>
      </c>
      <c r="N27" s="58" t="s">
        <v>1003</v>
      </c>
    </row>
    <row r="28" spans="1:19" ht="16.8" thickBot="1" x14ac:dyDescent="0.35">
      <c r="F28" s="60" t="s">
        <v>1015</v>
      </c>
      <c r="G28" s="159"/>
      <c r="H28" s="46" t="s">
        <v>1016</v>
      </c>
      <c r="I28" s="61" t="s">
        <v>1003</v>
      </c>
      <c r="K28" s="52" t="s">
        <v>1037</v>
      </c>
      <c r="L28" s="60"/>
      <c r="M28" s="46" t="s">
        <v>1038</v>
      </c>
      <c r="N28" s="58" t="s">
        <v>1003</v>
      </c>
    </row>
    <row r="29" spans="1:19" ht="16.8" thickBot="1" x14ac:dyDescent="0.35">
      <c r="F29" s="52" t="s">
        <v>1023</v>
      </c>
      <c r="G29" s="159"/>
      <c r="H29" s="46" t="s">
        <v>1024</v>
      </c>
      <c r="I29" s="58" t="s">
        <v>1003</v>
      </c>
      <c r="K29" s="52"/>
      <c r="L29" s="60"/>
      <c r="M29" s="46"/>
      <c r="N29" s="58"/>
    </row>
    <row r="30" spans="1:19" ht="16.8" thickBot="1" x14ac:dyDescent="0.35">
      <c r="F30" s="52" t="s">
        <v>1029</v>
      </c>
      <c r="G30" s="159"/>
      <c r="H30" s="46" t="s">
        <v>1030</v>
      </c>
      <c r="I30" s="58" t="s">
        <v>1003</v>
      </c>
      <c r="K30" s="52" t="s">
        <v>1069</v>
      </c>
      <c r="L30" s="63" t="s">
        <v>1046</v>
      </c>
      <c r="M30" s="46" t="s">
        <v>1070</v>
      </c>
      <c r="N30" s="58" t="s">
        <v>1071</v>
      </c>
    </row>
    <row r="31" spans="1:19" ht="31.8" thickBot="1" x14ac:dyDescent="0.35">
      <c r="F31" s="52" t="s">
        <v>1033</v>
      </c>
      <c r="G31" s="159"/>
      <c r="H31" s="46" t="s">
        <v>1034</v>
      </c>
      <c r="I31" s="58" t="s">
        <v>1003</v>
      </c>
      <c r="P31" s="161" t="s">
        <v>1072</v>
      </c>
      <c r="Q31" s="162"/>
      <c r="R31" s="162"/>
      <c r="S31" s="163"/>
    </row>
    <row r="32" spans="1:19" ht="15.75" customHeight="1" thickBot="1" x14ac:dyDescent="0.35">
      <c r="F32" s="60" t="s">
        <v>1035</v>
      </c>
      <c r="G32" s="159"/>
      <c r="H32" s="46" t="s">
        <v>1036</v>
      </c>
      <c r="I32" s="61" t="s">
        <v>1003</v>
      </c>
      <c r="P32" s="57" t="s">
        <v>995</v>
      </c>
      <c r="Q32" s="53" t="s">
        <v>996</v>
      </c>
      <c r="R32" s="53" t="s">
        <v>997</v>
      </c>
      <c r="S32" s="53" t="s">
        <v>998</v>
      </c>
    </row>
    <row r="33" spans="6:19" ht="16.8" thickBot="1" x14ac:dyDescent="0.35">
      <c r="F33" s="60" t="s">
        <v>1037</v>
      </c>
      <c r="G33" s="159"/>
      <c r="H33" s="46" t="s">
        <v>1038</v>
      </c>
      <c r="I33" s="61"/>
      <c r="P33" s="52" t="s">
        <v>1005</v>
      </c>
      <c r="Q33" s="155" t="s">
        <v>1006</v>
      </c>
      <c r="R33" s="46" t="s">
        <v>1007</v>
      </c>
      <c r="S33" s="58" t="s">
        <v>1008</v>
      </c>
    </row>
    <row r="34" spans="6:19" ht="16.8" thickBot="1" x14ac:dyDescent="0.35">
      <c r="F34" s="60" t="s">
        <v>1025</v>
      </c>
      <c r="G34" s="159"/>
      <c r="H34" s="46"/>
      <c r="I34" s="61" t="s">
        <v>1042</v>
      </c>
      <c r="P34" s="52" t="s">
        <v>1005</v>
      </c>
      <c r="Q34" s="156"/>
      <c r="R34" s="46" t="s">
        <v>1017</v>
      </c>
      <c r="S34" s="58" t="s">
        <v>1018</v>
      </c>
    </row>
    <row r="35" spans="6:19" ht="16.8" thickBot="1" x14ac:dyDescent="0.35">
      <c r="F35" s="60" t="s">
        <v>1043</v>
      </c>
      <c r="G35" s="159"/>
      <c r="H35" s="46"/>
      <c r="I35" s="61" t="s">
        <v>1044</v>
      </c>
      <c r="P35" s="52" t="s">
        <v>1025</v>
      </c>
      <c r="Q35" s="156"/>
      <c r="R35" s="46" t="s">
        <v>1026</v>
      </c>
      <c r="S35" s="58" t="s">
        <v>1027</v>
      </c>
    </row>
    <row r="36" spans="6:19" ht="16.8" thickBot="1" x14ac:dyDescent="0.35">
      <c r="F36" s="60" t="s">
        <v>1045</v>
      </c>
      <c r="G36" s="159"/>
      <c r="H36" s="46"/>
      <c r="I36" s="61" t="s">
        <v>1052</v>
      </c>
      <c r="P36" s="52" t="s">
        <v>1031</v>
      </c>
      <c r="Q36" s="157"/>
      <c r="R36" s="46" t="s">
        <v>1026</v>
      </c>
      <c r="S36" s="58" t="s">
        <v>1073</v>
      </c>
    </row>
    <row r="37" spans="6:19" ht="16.8" thickBot="1" x14ac:dyDescent="0.35">
      <c r="F37" s="60"/>
      <c r="G37" s="160"/>
      <c r="H37" s="46"/>
      <c r="I37" s="61"/>
    </row>
  </sheetData>
  <mergeCells count="19">
    <mergeCell ref="A1:D1"/>
    <mergeCell ref="P1:S1"/>
    <mergeCell ref="Q3:Q6"/>
    <mergeCell ref="F1:I1"/>
    <mergeCell ref="F20:I20"/>
    <mergeCell ref="L3:L10"/>
    <mergeCell ref="A17:A22"/>
    <mergeCell ref="F4:F6"/>
    <mergeCell ref="I4:I6"/>
    <mergeCell ref="P16:S16"/>
    <mergeCell ref="Q18:Q21"/>
    <mergeCell ref="B15:B16"/>
    <mergeCell ref="G3:G17"/>
    <mergeCell ref="B3:B14"/>
    <mergeCell ref="Q33:Q36"/>
    <mergeCell ref="G22:G37"/>
    <mergeCell ref="P31:S31"/>
    <mergeCell ref="I23:I25"/>
    <mergeCell ref="F23:F25"/>
  </mergeCells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2" filterMode="1">
    <pageSetUpPr fitToPage="1"/>
  </sheetPr>
  <dimension ref="A1:Z438"/>
  <sheetViews>
    <sheetView zoomScale="85" zoomScaleNormal="85" workbookViewId="0">
      <pane xSplit="1" ySplit="1" topLeftCell="B11" activePane="bottomRight" state="frozen"/>
      <selection pane="topRight" activeCell="J24" sqref="J24"/>
      <selection pane="bottomLeft" activeCell="J24" sqref="J24"/>
      <selection pane="bottomRight" activeCell="C24" sqref="A1:Z438"/>
    </sheetView>
  </sheetViews>
  <sheetFormatPr defaultColWidth="9" defaultRowHeight="15" x14ac:dyDescent="0.3"/>
  <cols>
    <col min="1" max="1" width="22.6640625" style="2" customWidth="1"/>
    <col min="2" max="2" width="11.109375" style="2" bestFit="1" customWidth="1"/>
    <col min="3" max="3" width="16.6640625" style="2" customWidth="1"/>
    <col min="4" max="4" width="12.109375" style="2" bestFit="1" customWidth="1"/>
    <col min="5" max="5" width="14.33203125" style="2" customWidth="1"/>
    <col min="6" max="6" width="9.109375" style="2" customWidth="1"/>
    <col min="7" max="7" width="21.44140625" style="2" customWidth="1"/>
    <col min="8" max="8" width="8.6640625" style="2" customWidth="1"/>
    <col min="9" max="9" width="31.33203125" style="2" customWidth="1"/>
    <col min="10" max="10" width="31.6640625" style="2" customWidth="1"/>
    <col min="11" max="11" width="10" style="2" customWidth="1"/>
    <col min="12" max="12" width="11.109375" style="2" customWidth="1"/>
    <col min="13" max="13" width="28" style="2" customWidth="1"/>
    <col min="14" max="14" width="17" style="2" customWidth="1"/>
    <col min="15" max="15" width="19.44140625" style="2" customWidth="1"/>
    <col min="16" max="16" width="34.88671875" style="4" customWidth="1"/>
    <col min="17" max="17" width="22.44140625" style="3" customWidth="1"/>
    <col min="18" max="18" width="13" style="2" customWidth="1"/>
    <col min="19" max="19" width="21.44140625" style="2" customWidth="1"/>
    <col min="20" max="21" width="16.6640625" style="2" customWidth="1"/>
    <col min="22" max="22" width="15.6640625" style="3" customWidth="1"/>
    <col min="23" max="23" width="10.109375" style="2" customWidth="1"/>
    <col min="24" max="24" width="9.33203125" style="2" customWidth="1"/>
    <col min="25" max="25" width="18.109375" style="2" customWidth="1"/>
    <col min="26" max="26" width="63.33203125" style="2" bestFit="1" customWidth="1"/>
    <col min="27" max="16384" width="9" style="2"/>
  </cols>
  <sheetData>
    <row r="1" spans="1:26" s="1" customFormat="1" ht="75" x14ac:dyDescent="0.3">
      <c r="A1" s="41" t="s">
        <v>1</v>
      </c>
      <c r="B1" s="45" t="s">
        <v>2</v>
      </c>
      <c r="C1" s="45" t="s">
        <v>3</v>
      </c>
      <c r="D1" s="45" t="s">
        <v>4</v>
      </c>
      <c r="E1" s="45" t="s">
        <v>5</v>
      </c>
      <c r="F1" s="45" t="s">
        <v>6</v>
      </c>
      <c r="G1" s="45" t="s">
        <v>7</v>
      </c>
      <c r="H1" s="45" t="s">
        <v>8</v>
      </c>
      <c r="I1" s="45" t="s">
        <v>9</v>
      </c>
      <c r="J1" s="45" t="s">
        <v>10</v>
      </c>
      <c r="K1" s="45" t="s">
        <v>11</v>
      </c>
      <c r="L1" s="45" t="s">
        <v>12</v>
      </c>
      <c r="M1" s="45" t="s">
        <v>13</v>
      </c>
      <c r="N1" s="45" t="s">
        <v>14</v>
      </c>
      <c r="O1" s="68" t="s">
        <v>15</v>
      </c>
      <c r="P1" s="67" t="s">
        <v>16</v>
      </c>
      <c r="Q1" s="43" t="s">
        <v>18</v>
      </c>
      <c r="R1" s="45" t="s">
        <v>19</v>
      </c>
      <c r="S1" s="44" t="s">
        <v>20</v>
      </c>
      <c r="T1" s="44" t="s">
        <v>21</v>
      </c>
      <c r="U1" s="44" t="s">
        <v>22</v>
      </c>
      <c r="V1" s="43" t="s">
        <v>23</v>
      </c>
      <c r="W1" s="42" t="s">
        <v>24</v>
      </c>
      <c r="X1" s="42" t="s">
        <v>25</v>
      </c>
      <c r="Y1" s="42" t="s">
        <v>26</v>
      </c>
      <c r="Z1" s="42" t="s">
        <v>27</v>
      </c>
    </row>
    <row r="2" spans="1:26" s="1" customFormat="1" ht="19.8" x14ac:dyDescent="0.3">
      <c r="A2" s="49" t="s">
        <v>1074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x14ac:dyDescent="0.3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x14ac:dyDescent="0.3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99.9" customHeight="1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99.9" customHeight="1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99.9" customHeight="1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99.9" customHeight="1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99.9" customHeight="1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99.9" customHeight="1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99.9" customHeight="1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99.9" customHeight="1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99.9" customHeight="1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99.9" hidden="1" customHeight="1" x14ac:dyDescent="0.3">
      <c r="A32" s="66" t="s">
        <v>1075</v>
      </c>
      <c r="B32" s="66" t="s">
        <v>117</v>
      </c>
      <c r="C32" s="66">
        <v>8.4</v>
      </c>
      <c r="D32" s="66" t="s">
        <v>1074</v>
      </c>
      <c r="E32" s="66" t="s">
        <v>363</v>
      </c>
      <c r="F32" s="66" t="s">
        <v>1076</v>
      </c>
      <c r="G32" s="66" t="s">
        <v>1077</v>
      </c>
      <c r="H32" s="66" t="s">
        <v>1078</v>
      </c>
      <c r="I32" s="66" t="s">
        <v>1079</v>
      </c>
      <c r="J32" s="66" t="s">
        <v>1080</v>
      </c>
      <c r="K32" s="66">
        <v>2</v>
      </c>
      <c r="L32" s="66">
        <v>8</v>
      </c>
      <c r="M32" s="66" t="s">
        <v>1081</v>
      </c>
      <c r="N32" s="66"/>
      <c r="O32" s="66" t="s">
        <v>1082</v>
      </c>
      <c r="P32" s="66"/>
      <c r="Q32" s="66"/>
      <c r="R32" s="66"/>
      <c r="S32" s="66"/>
      <c r="T32" s="66"/>
      <c r="U32" s="66" t="s">
        <v>1083</v>
      </c>
      <c r="V32" s="66"/>
      <c r="W32" s="66"/>
      <c r="X32" s="66"/>
      <c r="Y32" s="66"/>
      <c r="Z32" s="66"/>
    </row>
    <row r="33" spans="1:26" ht="99.9" customHeight="1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99.9" customHeight="1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99.9" customHeight="1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99.9" customHeight="1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99.9" customHeight="1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99.9" customHeight="1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99.9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99.9" customHeight="1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99.9" customHeight="1" x14ac:dyDescent="0.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99.9" customHeight="1" x14ac:dyDescent="0.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99.9" hidden="1" customHeight="1" x14ac:dyDescent="0.3">
      <c r="A43" s="66" t="s">
        <v>1084</v>
      </c>
      <c r="B43" s="66" t="s">
        <v>117</v>
      </c>
      <c r="C43" s="66">
        <v>8.4</v>
      </c>
      <c r="D43" s="66" t="s">
        <v>1074</v>
      </c>
      <c r="E43" s="66" t="s">
        <v>363</v>
      </c>
      <c r="F43" s="66" t="s">
        <v>1085</v>
      </c>
      <c r="G43" s="66" t="s">
        <v>1077</v>
      </c>
      <c r="H43" s="66" t="s">
        <v>1078</v>
      </c>
      <c r="I43" s="66" t="s">
        <v>1086</v>
      </c>
      <c r="J43" s="66" t="s">
        <v>1080</v>
      </c>
      <c r="K43" s="66">
        <v>2</v>
      </c>
      <c r="L43" s="66">
        <v>8</v>
      </c>
      <c r="M43" s="66" t="s">
        <v>1081</v>
      </c>
      <c r="N43" s="66"/>
      <c r="O43" s="66" t="s">
        <v>1087</v>
      </c>
      <c r="P43" s="66"/>
      <c r="Q43" s="66"/>
      <c r="R43" s="66"/>
      <c r="S43" s="66"/>
      <c r="T43" s="66"/>
      <c r="U43" s="66" t="s">
        <v>1083</v>
      </c>
      <c r="V43" s="66"/>
      <c r="W43" s="66"/>
      <c r="X43" s="66"/>
      <c r="Y43" s="66"/>
      <c r="Z43" s="66"/>
    </row>
    <row r="44" spans="1:26" ht="99.9" customHeight="1" x14ac:dyDescent="0.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99.9" customHeight="1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99.9" customHeight="1" x14ac:dyDescent="0.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99.9" customHeight="1" x14ac:dyDescent="0.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99.9" customHeight="1" x14ac:dyDescent="0.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99.9" customHeight="1" x14ac:dyDescent="0.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99.9" customHeight="1" x14ac:dyDescent="0.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99.9" customHeight="1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99.9" customHeight="1" x14ac:dyDescent="0.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99.9" customHeight="1" x14ac:dyDescent="0.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99.9" customHeight="1" x14ac:dyDescent="0.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99.9" customHeight="1" x14ac:dyDescent="0.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99.9" customHeight="1" x14ac:dyDescent="0.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99.9" customHeight="1" x14ac:dyDescent="0.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99.9" customHeight="1" x14ac:dyDescent="0.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99.9" customHeight="1" x14ac:dyDescent="0.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99.9" customHeight="1" x14ac:dyDescent="0.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99.9" customHeight="1" x14ac:dyDescent="0.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99.9" customHeight="1" x14ac:dyDescent="0.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99.9" customHeight="1" x14ac:dyDescent="0.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99.9" customHeight="1" x14ac:dyDescent="0.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99.9" hidden="1" customHeight="1" x14ac:dyDescent="0.3">
      <c r="A65" s="66" t="s">
        <v>1088</v>
      </c>
      <c r="B65" s="66" t="s">
        <v>117</v>
      </c>
      <c r="C65" s="66">
        <v>8.4</v>
      </c>
      <c r="D65" s="66" t="s">
        <v>1074</v>
      </c>
      <c r="E65" s="66" t="s">
        <v>363</v>
      </c>
      <c r="F65" s="66" t="s">
        <v>1089</v>
      </c>
      <c r="G65" s="66" t="s">
        <v>1090</v>
      </c>
      <c r="H65" s="66" t="s">
        <v>1078</v>
      </c>
      <c r="I65" s="66" t="s">
        <v>1091</v>
      </c>
      <c r="J65" s="66" t="s">
        <v>1092</v>
      </c>
      <c r="K65" s="66">
        <v>8</v>
      </c>
      <c r="L65" s="66">
        <v>16</v>
      </c>
      <c r="M65" s="66" t="s">
        <v>1093</v>
      </c>
      <c r="N65" s="66">
        <v>100</v>
      </c>
      <c r="O65" s="66" t="s">
        <v>1094</v>
      </c>
      <c r="P65" s="66" t="s">
        <v>1095</v>
      </c>
      <c r="Q65" s="66"/>
      <c r="R65" s="66"/>
      <c r="S65" s="66"/>
      <c r="T65" s="66"/>
      <c r="U65" s="66" t="s">
        <v>1096</v>
      </c>
      <c r="V65" s="66"/>
      <c r="W65" s="66"/>
      <c r="X65" s="66"/>
      <c r="Y65" s="66"/>
      <c r="Z65" s="66"/>
    </row>
    <row r="66" spans="1:26" ht="99.9" hidden="1" customHeight="1" x14ac:dyDescent="0.3">
      <c r="A66" s="66" t="s">
        <v>1097</v>
      </c>
      <c r="B66" s="66" t="s">
        <v>117</v>
      </c>
      <c r="C66" s="66">
        <v>8.4</v>
      </c>
      <c r="D66" s="66" t="s">
        <v>1074</v>
      </c>
      <c r="E66" s="66" t="s">
        <v>363</v>
      </c>
      <c r="F66" s="66" t="s">
        <v>1089</v>
      </c>
      <c r="G66" s="66" t="s">
        <v>1090</v>
      </c>
      <c r="H66" s="66" t="s">
        <v>1078</v>
      </c>
      <c r="I66" s="66" t="s">
        <v>1091</v>
      </c>
      <c r="J66" s="66" t="s">
        <v>1092</v>
      </c>
      <c r="K66" s="66">
        <v>8</v>
      </c>
      <c r="L66" s="66">
        <v>16</v>
      </c>
      <c r="M66" s="66" t="s">
        <v>1093</v>
      </c>
      <c r="N66" s="66">
        <v>100</v>
      </c>
      <c r="O66" s="66" t="s">
        <v>1098</v>
      </c>
      <c r="P66" s="66" t="s">
        <v>1095</v>
      </c>
      <c r="Q66" s="66"/>
      <c r="R66" s="66"/>
      <c r="S66" s="66"/>
      <c r="T66" s="66"/>
      <c r="U66" s="66" t="s">
        <v>1096</v>
      </c>
      <c r="V66" s="66"/>
      <c r="W66" s="66"/>
      <c r="X66" s="66"/>
      <c r="Y66" s="66"/>
      <c r="Z66" s="66"/>
    </row>
    <row r="67" spans="1:26" ht="99.9" hidden="1" customHeight="1" x14ac:dyDescent="0.3">
      <c r="A67" s="66" t="s">
        <v>1099</v>
      </c>
      <c r="B67" s="66" t="s">
        <v>117</v>
      </c>
      <c r="C67" s="66">
        <v>8.4</v>
      </c>
      <c r="D67" s="66" t="s">
        <v>1074</v>
      </c>
      <c r="E67" s="66" t="s">
        <v>363</v>
      </c>
      <c r="F67" s="66" t="s">
        <v>1089</v>
      </c>
      <c r="G67" s="66" t="s">
        <v>1090</v>
      </c>
      <c r="H67" s="66" t="s">
        <v>1078</v>
      </c>
      <c r="I67" s="66" t="s">
        <v>1091</v>
      </c>
      <c r="J67" s="66" t="s">
        <v>1092</v>
      </c>
      <c r="K67" s="66">
        <v>8</v>
      </c>
      <c r="L67" s="66">
        <v>16</v>
      </c>
      <c r="M67" s="66" t="s">
        <v>1093</v>
      </c>
      <c r="N67" s="66">
        <v>100</v>
      </c>
      <c r="O67" s="66" t="s">
        <v>1100</v>
      </c>
      <c r="P67" s="66" t="s">
        <v>1095</v>
      </c>
      <c r="Q67" s="66"/>
      <c r="R67" s="66"/>
      <c r="S67" s="66"/>
      <c r="T67" s="66"/>
      <c r="U67" s="66" t="s">
        <v>1096</v>
      </c>
      <c r="V67" s="66"/>
      <c r="W67" s="66"/>
      <c r="X67" s="66"/>
      <c r="Y67" s="66"/>
      <c r="Z67" s="66"/>
    </row>
    <row r="68" spans="1:26" ht="99.9" hidden="1" customHeight="1" x14ac:dyDescent="0.3">
      <c r="A68" s="66" t="s">
        <v>1101</v>
      </c>
      <c r="B68" s="66" t="s">
        <v>117</v>
      </c>
      <c r="C68" s="66">
        <v>8.4</v>
      </c>
      <c r="D68" s="66" t="s">
        <v>1074</v>
      </c>
      <c r="E68" s="66" t="s">
        <v>363</v>
      </c>
      <c r="F68" s="66" t="s">
        <v>1089</v>
      </c>
      <c r="G68" s="66" t="s">
        <v>1090</v>
      </c>
      <c r="H68" s="66" t="s">
        <v>1078</v>
      </c>
      <c r="I68" s="66" t="s">
        <v>1091</v>
      </c>
      <c r="J68" s="66" t="s">
        <v>1092</v>
      </c>
      <c r="K68" s="66">
        <v>8</v>
      </c>
      <c r="L68" s="66">
        <v>16</v>
      </c>
      <c r="M68" s="66" t="s">
        <v>1093</v>
      </c>
      <c r="N68" s="66">
        <v>100</v>
      </c>
      <c r="O68" s="66" t="s">
        <v>1102</v>
      </c>
      <c r="P68" s="66" t="s">
        <v>1095</v>
      </c>
      <c r="Q68" s="66"/>
      <c r="R68" s="66"/>
      <c r="S68" s="66"/>
      <c r="T68" s="66"/>
      <c r="U68" s="66" t="s">
        <v>1096</v>
      </c>
      <c r="V68" s="66"/>
      <c r="W68" s="66"/>
      <c r="X68" s="66"/>
      <c r="Y68" s="66"/>
      <c r="Z68" s="66"/>
    </row>
    <row r="69" spans="1:26" ht="99.9" hidden="1" customHeight="1" x14ac:dyDescent="0.3">
      <c r="A69" s="66" t="s">
        <v>1103</v>
      </c>
      <c r="B69" s="66" t="s">
        <v>117</v>
      </c>
      <c r="C69" s="66">
        <v>8.4</v>
      </c>
      <c r="D69" s="66" t="s">
        <v>1074</v>
      </c>
      <c r="E69" s="66" t="s">
        <v>363</v>
      </c>
      <c r="F69" s="66" t="s">
        <v>1089</v>
      </c>
      <c r="G69" s="66" t="s">
        <v>1090</v>
      </c>
      <c r="H69" s="66" t="s">
        <v>1078</v>
      </c>
      <c r="I69" s="66" t="s">
        <v>1091</v>
      </c>
      <c r="J69" s="66" t="s">
        <v>1092</v>
      </c>
      <c r="K69" s="66">
        <v>8</v>
      </c>
      <c r="L69" s="66">
        <v>16</v>
      </c>
      <c r="M69" s="66" t="s">
        <v>1093</v>
      </c>
      <c r="N69" s="66">
        <v>100</v>
      </c>
      <c r="O69" s="66" t="s">
        <v>1104</v>
      </c>
      <c r="P69" s="66" t="s">
        <v>1095</v>
      </c>
      <c r="Q69" s="66"/>
      <c r="R69" s="66"/>
      <c r="S69" s="66"/>
      <c r="T69" s="66"/>
      <c r="U69" s="66" t="s">
        <v>1096</v>
      </c>
      <c r="V69" s="66"/>
      <c r="W69" s="66"/>
      <c r="X69" s="66"/>
      <c r="Y69" s="66"/>
      <c r="Z69" s="66"/>
    </row>
    <row r="70" spans="1:26" ht="99.9" hidden="1" customHeight="1" x14ac:dyDescent="0.3">
      <c r="A70" s="66" t="s">
        <v>1105</v>
      </c>
      <c r="B70" s="66" t="s">
        <v>117</v>
      </c>
      <c r="C70" s="66">
        <v>8.4</v>
      </c>
      <c r="D70" s="66" t="s">
        <v>1074</v>
      </c>
      <c r="E70" s="66" t="s">
        <v>363</v>
      </c>
      <c r="F70" s="66" t="s">
        <v>1089</v>
      </c>
      <c r="G70" s="66" t="s">
        <v>1090</v>
      </c>
      <c r="H70" s="66" t="s">
        <v>1078</v>
      </c>
      <c r="I70" s="66" t="s">
        <v>1091</v>
      </c>
      <c r="J70" s="66" t="s">
        <v>1092</v>
      </c>
      <c r="K70" s="66">
        <v>8</v>
      </c>
      <c r="L70" s="66">
        <v>16</v>
      </c>
      <c r="M70" s="66" t="s">
        <v>1093</v>
      </c>
      <c r="N70" s="66">
        <v>100</v>
      </c>
      <c r="O70" s="66" t="s">
        <v>1106</v>
      </c>
      <c r="P70" s="66" t="s">
        <v>1095</v>
      </c>
      <c r="Q70" s="66"/>
      <c r="R70" s="66"/>
      <c r="S70" s="66"/>
      <c r="T70" s="66"/>
      <c r="U70" s="66" t="s">
        <v>1096</v>
      </c>
      <c r="V70" s="66"/>
      <c r="W70" s="66"/>
      <c r="X70" s="66"/>
      <c r="Y70" s="66"/>
      <c r="Z70" s="66"/>
    </row>
    <row r="71" spans="1:26" ht="99.9" hidden="1" customHeight="1" x14ac:dyDescent="0.3">
      <c r="A71" s="66" t="s">
        <v>1107</v>
      </c>
      <c r="B71" s="66" t="s">
        <v>117</v>
      </c>
      <c r="C71" s="66">
        <v>8.4</v>
      </c>
      <c r="D71" s="66" t="s">
        <v>1074</v>
      </c>
      <c r="E71" s="66" t="s">
        <v>363</v>
      </c>
      <c r="F71" s="66" t="s">
        <v>1089</v>
      </c>
      <c r="G71" s="66" t="s">
        <v>1090</v>
      </c>
      <c r="H71" s="66" t="s">
        <v>1078</v>
      </c>
      <c r="I71" s="66" t="s">
        <v>1091</v>
      </c>
      <c r="J71" s="66" t="s">
        <v>1092</v>
      </c>
      <c r="K71" s="66">
        <v>8</v>
      </c>
      <c r="L71" s="66">
        <v>16</v>
      </c>
      <c r="M71" s="66" t="s">
        <v>1093</v>
      </c>
      <c r="N71" s="66">
        <v>100</v>
      </c>
      <c r="O71" s="66" t="s">
        <v>1108</v>
      </c>
      <c r="P71" s="66" t="s">
        <v>1095</v>
      </c>
      <c r="Q71" s="66"/>
      <c r="R71" s="66"/>
      <c r="S71" s="66"/>
      <c r="T71" s="66"/>
      <c r="U71" s="66" t="s">
        <v>1096</v>
      </c>
      <c r="V71" s="66"/>
      <c r="W71" s="66"/>
      <c r="X71" s="66"/>
      <c r="Y71" s="66"/>
      <c r="Z71" s="66"/>
    </row>
    <row r="72" spans="1:26" ht="99.9" hidden="1" customHeight="1" x14ac:dyDescent="0.3">
      <c r="A72" s="66" t="s">
        <v>1109</v>
      </c>
      <c r="B72" s="66" t="s">
        <v>117</v>
      </c>
      <c r="C72" s="66">
        <v>8.4</v>
      </c>
      <c r="D72" s="66" t="s">
        <v>1074</v>
      </c>
      <c r="E72" s="66" t="s">
        <v>363</v>
      </c>
      <c r="F72" s="66" t="s">
        <v>1089</v>
      </c>
      <c r="G72" s="66" t="s">
        <v>1090</v>
      </c>
      <c r="H72" s="66" t="s">
        <v>1078</v>
      </c>
      <c r="I72" s="66" t="s">
        <v>1091</v>
      </c>
      <c r="J72" s="66" t="s">
        <v>1092</v>
      </c>
      <c r="K72" s="66">
        <v>8</v>
      </c>
      <c r="L72" s="66">
        <v>16</v>
      </c>
      <c r="M72" s="66" t="s">
        <v>1093</v>
      </c>
      <c r="N72" s="66">
        <v>100</v>
      </c>
      <c r="O72" s="66" t="s">
        <v>1110</v>
      </c>
      <c r="P72" s="66" t="s">
        <v>1095</v>
      </c>
      <c r="Q72" s="66"/>
      <c r="R72" s="66"/>
      <c r="S72" s="66"/>
      <c r="T72" s="66"/>
      <c r="U72" s="66" t="s">
        <v>1096</v>
      </c>
      <c r="V72" s="66"/>
      <c r="W72" s="66"/>
      <c r="X72" s="66"/>
      <c r="Y72" s="66"/>
      <c r="Z72" s="66"/>
    </row>
    <row r="73" spans="1:26" ht="99.9" hidden="1" customHeight="1" x14ac:dyDescent="0.3">
      <c r="A73" s="66" t="s">
        <v>1111</v>
      </c>
      <c r="B73" s="66"/>
      <c r="C73" s="66"/>
      <c r="D73" s="66"/>
      <c r="E73" s="66"/>
      <c r="F73" s="66" t="s">
        <v>1089</v>
      </c>
      <c r="G73" s="66" t="s">
        <v>1090</v>
      </c>
      <c r="H73" s="66" t="s">
        <v>1078</v>
      </c>
      <c r="I73" s="66" t="s">
        <v>1112</v>
      </c>
      <c r="J73" s="66" t="s">
        <v>1092</v>
      </c>
      <c r="K73" s="66">
        <v>8</v>
      </c>
      <c r="L73" s="66">
        <v>16</v>
      </c>
      <c r="M73" s="66" t="s">
        <v>1093</v>
      </c>
      <c r="N73" s="66">
        <v>100</v>
      </c>
      <c r="O73" s="66" t="s">
        <v>1113</v>
      </c>
      <c r="P73" s="66" t="s">
        <v>1095</v>
      </c>
      <c r="Q73" s="66"/>
      <c r="R73" s="66"/>
      <c r="S73" s="66"/>
      <c r="T73" s="66"/>
      <c r="U73" s="66" t="s">
        <v>1096</v>
      </c>
      <c r="V73" s="66"/>
      <c r="W73" s="66"/>
      <c r="X73" s="66"/>
      <c r="Y73" s="66"/>
      <c r="Z73" s="66"/>
    </row>
    <row r="74" spans="1:26" ht="99.9" hidden="1" customHeight="1" x14ac:dyDescent="0.3">
      <c r="A74" s="66" t="s">
        <v>1114</v>
      </c>
      <c r="B74" s="66"/>
      <c r="C74" s="66"/>
      <c r="D74" s="66"/>
      <c r="E74" s="66"/>
      <c r="F74" s="66" t="s">
        <v>1089</v>
      </c>
      <c r="G74" s="66" t="s">
        <v>1090</v>
      </c>
      <c r="H74" s="66" t="s">
        <v>1078</v>
      </c>
      <c r="I74" s="66" t="s">
        <v>1112</v>
      </c>
      <c r="J74" s="66" t="s">
        <v>1092</v>
      </c>
      <c r="K74" s="66">
        <v>8</v>
      </c>
      <c r="L74" s="66">
        <v>16</v>
      </c>
      <c r="M74" s="66" t="s">
        <v>1093</v>
      </c>
      <c r="N74" s="66">
        <v>100</v>
      </c>
      <c r="O74" s="66" t="s">
        <v>1115</v>
      </c>
      <c r="P74" s="66" t="s">
        <v>1095</v>
      </c>
      <c r="Q74" s="66"/>
      <c r="R74" s="66"/>
      <c r="S74" s="66"/>
      <c r="T74" s="66"/>
      <c r="U74" s="66" t="s">
        <v>1096</v>
      </c>
      <c r="V74" s="66"/>
      <c r="W74" s="66"/>
      <c r="X74" s="66"/>
      <c r="Y74" s="66"/>
      <c r="Z74" s="66"/>
    </row>
    <row r="75" spans="1:26" ht="99.9" hidden="1" customHeight="1" x14ac:dyDescent="0.3">
      <c r="A75" s="66" t="s">
        <v>1116</v>
      </c>
      <c r="B75" s="66" t="s">
        <v>117</v>
      </c>
      <c r="C75" s="66">
        <v>8.4</v>
      </c>
      <c r="D75" s="66" t="s">
        <v>1074</v>
      </c>
      <c r="E75" s="66" t="s">
        <v>363</v>
      </c>
      <c r="F75" s="66" t="s">
        <v>1117</v>
      </c>
      <c r="G75" s="66" t="s">
        <v>1090</v>
      </c>
      <c r="H75" s="66" t="s">
        <v>1118</v>
      </c>
      <c r="I75" s="66" t="s">
        <v>1119</v>
      </c>
      <c r="J75" s="66" t="s">
        <v>1120</v>
      </c>
      <c r="K75" s="66">
        <v>8</v>
      </c>
      <c r="L75" s="66">
        <v>128</v>
      </c>
      <c r="M75" s="66" t="s">
        <v>1093</v>
      </c>
      <c r="N75" s="66">
        <v>600</v>
      </c>
      <c r="O75" s="66" t="s">
        <v>1121</v>
      </c>
      <c r="P75" s="66" t="s">
        <v>1122</v>
      </c>
      <c r="Q75" s="66" t="s">
        <v>1123</v>
      </c>
      <c r="R75" s="66" t="s">
        <v>1124</v>
      </c>
      <c r="S75" s="66"/>
      <c r="T75" s="66"/>
      <c r="U75" s="66" t="s">
        <v>1125</v>
      </c>
      <c r="V75" s="66"/>
      <c r="W75" s="66"/>
      <c r="X75" s="66"/>
      <c r="Y75" s="66"/>
      <c r="Z75" s="66"/>
    </row>
    <row r="76" spans="1:26" ht="99.9" hidden="1" customHeight="1" x14ac:dyDescent="0.3">
      <c r="A76" s="66" t="s">
        <v>1126</v>
      </c>
      <c r="B76" s="66" t="s">
        <v>117</v>
      </c>
      <c r="C76" s="66">
        <v>8.4</v>
      </c>
      <c r="D76" s="66" t="s">
        <v>1074</v>
      </c>
      <c r="E76" s="66" t="s">
        <v>363</v>
      </c>
      <c r="F76" s="66" t="s">
        <v>1117</v>
      </c>
      <c r="G76" s="66" t="s">
        <v>1090</v>
      </c>
      <c r="H76" s="66" t="s">
        <v>1118</v>
      </c>
      <c r="I76" s="66" t="s">
        <v>1119</v>
      </c>
      <c r="J76" s="66" t="s">
        <v>1120</v>
      </c>
      <c r="K76" s="66">
        <v>8</v>
      </c>
      <c r="L76" s="66">
        <v>128</v>
      </c>
      <c r="M76" s="66" t="s">
        <v>1093</v>
      </c>
      <c r="N76" s="66">
        <v>600</v>
      </c>
      <c r="O76" s="66" t="s">
        <v>1127</v>
      </c>
      <c r="P76" s="66" t="s">
        <v>1122</v>
      </c>
      <c r="Q76" s="66" t="s">
        <v>1123</v>
      </c>
      <c r="R76" s="66" t="s">
        <v>1124</v>
      </c>
      <c r="S76" s="66"/>
      <c r="T76" s="66"/>
      <c r="U76" s="66" t="s">
        <v>1125</v>
      </c>
      <c r="V76" s="66"/>
      <c r="W76" s="66"/>
      <c r="X76" s="66"/>
      <c r="Y76" s="66"/>
      <c r="Z76" s="66"/>
    </row>
    <row r="77" spans="1:26" ht="99.9" hidden="1" customHeight="1" x14ac:dyDescent="0.3">
      <c r="A77" s="66" t="s">
        <v>1128</v>
      </c>
      <c r="B77" s="66" t="s">
        <v>117</v>
      </c>
      <c r="C77" s="66">
        <v>8.4</v>
      </c>
      <c r="D77" s="66" t="s">
        <v>1074</v>
      </c>
      <c r="E77" s="66" t="s">
        <v>363</v>
      </c>
      <c r="F77" s="66" t="s">
        <v>1117</v>
      </c>
      <c r="G77" s="66" t="s">
        <v>1090</v>
      </c>
      <c r="H77" s="66" t="s">
        <v>1118</v>
      </c>
      <c r="I77" s="66" t="s">
        <v>1119</v>
      </c>
      <c r="J77" s="66" t="s">
        <v>1120</v>
      </c>
      <c r="K77" s="66">
        <v>8</v>
      </c>
      <c r="L77" s="66">
        <v>128</v>
      </c>
      <c r="M77" s="66" t="s">
        <v>1093</v>
      </c>
      <c r="N77" s="66">
        <v>600</v>
      </c>
      <c r="O77" s="66" t="s">
        <v>1129</v>
      </c>
      <c r="P77" s="66" t="s">
        <v>1122</v>
      </c>
      <c r="Q77" s="66" t="s">
        <v>1123</v>
      </c>
      <c r="R77" s="66" t="s">
        <v>1124</v>
      </c>
      <c r="S77" s="66"/>
      <c r="T77" s="66"/>
      <c r="U77" s="66" t="s">
        <v>1125</v>
      </c>
      <c r="V77" s="66"/>
      <c r="W77" s="66"/>
      <c r="X77" s="66"/>
      <c r="Y77" s="66"/>
      <c r="Z77" s="66"/>
    </row>
    <row r="78" spans="1:26" ht="99.9" hidden="1" customHeight="1" x14ac:dyDescent="0.3">
      <c r="A78" s="66" t="s">
        <v>1130</v>
      </c>
      <c r="B78" s="66" t="s">
        <v>117</v>
      </c>
      <c r="C78" s="66">
        <v>8.4</v>
      </c>
      <c r="D78" s="66" t="s">
        <v>1074</v>
      </c>
      <c r="E78" s="66" t="s">
        <v>363</v>
      </c>
      <c r="F78" s="66" t="s">
        <v>1117</v>
      </c>
      <c r="G78" s="66" t="s">
        <v>1090</v>
      </c>
      <c r="H78" s="66" t="s">
        <v>1118</v>
      </c>
      <c r="I78" s="66" t="s">
        <v>1119</v>
      </c>
      <c r="J78" s="66" t="s">
        <v>1120</v>
      </c>
      <c r="K78" s="66">
        <v>8</v>
      </c>
      <c r="L78" s="66">
        <v>128</v>
      </c>
      <c r="M78" s="66" t="s">
        <v>1093</v>
      </c>
      <c r="N78" s="66">
        <v>600</v>
      </c>
      <c r="O78" s="66" t="s">
        <v>1131</v>
      </c>
      <c r="P78" s="66" t="s">
        <v>1122</v>
      </c>
      <c r="Q78" s="66" t="s">
        <v>1123</v>
      </c>
      <c r="R78" s="66" t="s">
        <v>1124</v>
      </c>
      <c r="S78" s="66"/>
      <c r="T78" s="66"/>
      <c r="U78" s="66" t="s">
        <v>1125</v>
      </c>
      <c r="V78" s="66"/>
      <c r="W78" s="66"/>
      <c r="X78" s="66"/>
      <c r="Y78" s="66"/>
      <c r="Z78" s="66"/>
    </row>
    <row r="79" spans="1:26" ht="99.9" hidden="1" customHeight="1" x14ac:dyDescent="0.3">
      <c r="A79" s="66" t="s">
        <v>1132</v>
      </c>
      <c r="B79" s="66" t="s">
        <v>117</v>
      </c>
      <c r="C79" s="66">
        <v>8.4</v>
      </c>
      <c r="D79" s="66" t="s">
        <v>1074</v>
      </c>
      <c r="E79" s="66" t="s">
        <v>363</v>
      </c>
      <c r="F79" s="66" t="s">
        <v>1117</v>
      </c>
      <c r="G79" s="66" t="s">
        <v>1090</v>
      </c>
      <c r="H79" s="66" t="s">
        <v>1118</v>
      </c>
      <c r="I79" s="66" t="s">
        <v>1119</v>
      </c>
      <c r="J79" s="66" t="s">
        <v>1120</v>
      </c>
      <c r="K79" s="66">
        <v>8</v>
      </c>
      <c r="L79" s="66">
        <v>128</v>
      </c>
      <c r="M79" s="66" t="s">
        <v>1093</v>
      </c>
      <c r="N79" s="66">
        <v>600</v>
      </c>
      <c r="O79" s="66" t="s">
        <v>1133</v>
      </c>
      <c r="P79" s="66" t="s">
        <v>1122</v>
      </c>
      <c r="Q79" s="66" t="s">
        <v>1123</v>
      </c>
      <c r="R79" s="66" t="s">
        <v>1124</v>
      </c>
      <c r="S79" s="66"/>
      <c r="T79" s="66"/>
      <c r="U79" s="66" t="s">
        <v>1125</v>
      </c>
      <c r="V79" s="66"/>
      <c r="W79" s="66"/>
      <c r="X79" s="66"/>
      <c r="Y79" s="66"/>
      <c r="Z79" s="66"/>
    </row>
    <row r="80" spans="1:26" ht="99.9" hidden="1" customHeight="1" x14ac:dyDescent="0.3">
      <c r="A80" s="66" t="s">
        <v>1134</v>
      </c>
      <c r="B80" s="66" t="s">
        <v>117</v>
      </c>
      <c r="C80" s="66">
        <v>8.4</v>
      </c>
      <c r="D80" s="66" t="s">
        <v>1074</v>
      </c>
      <c r="E80" s="66" t="s">
        <v>363</v>
      </c>
      <c r="F80" s="66" t="s">
        <v>1135</v>
      </c>
      <c r="G80" s="66" t="s">
        <v>1090</v>
      </c>
      <c r="H80" s="66" t="s">
        <v>1136</v>
      </c>
      <c r="I80" s="66" t="s">
        <v>1137</v>
      </c>
      <c r="J80" s="66"/>
      <c r="K80" s="66">
        <v>8</v>
      </c>
      <c r="L80" s="66">
        <v>32</v>
      </c>
      <c r="M80" s="66" t="s">
        <v>1093</v>
      </c>
      <c r="N80" s="66">
        <v>100</v>
      </c>
      <c r="O80" s="66" t="s">
        <v>1138</v>
      </c>
      <c r="P80" s="66" t="s">
        <v>1139</v>
      </c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99.9" hidden="1" customHeight="1" x14ac:dyDescent="0.3">
      <c r="A81" s="66" t="s">
        <v>1140</v>
      </c>
      <c r="B81" s="66" t="s">
        <v>117</v>
      </c>
      <c r="C81" s="66">
        <v>8.4</v>
      </c>
      <c r="D81" s="66" t="s">
        <v>1074</v>
      </c>
      <c r="E81" s="66" t="s">
        <v>363</v>
      </c>
      <c r="F81" s="66" t="s">
        <v>1141</v>
      </c>
      <c r="G81" s="66" t="s">
        <v>1090</v>
      </c>
      <c r="H81" s="66" t="s">
        <v>1142</v>
      </c>
      <c r="I81" s="66" t="s">
        <v>1143</v>
      </c>
      <c r="J81" s="66"/>
      <c r="K81" s="66">
        <v>8</v>
      </c>
      <c r="L81" s="66">
        <v>32</v>
      </c>
      <c r="M81" s="66" t="s">
        <v>1093</v>
      </c>
      <c r="N81" s="66">
        <v>100</v>
      </c>
      <c r="O81" s="66" t="s">
        <v>1144</v>
      </c>
      <c r="P81" s="66"/>
      <c r="Q81" s="66"/>
      <c r="R81" s="66" t="s">
        <v>1145</v>
      </c>
      <c r="S81" s="66"/>
      <c r="T81" s="66"/>
      <c r="U81" s="66"/>
      <c r="V81" s="66"/>
      <c r="W81" s="66"/>
      <c r="X81" s="66"/>
      <c r="Y81" s="66"/>
      <c r="Z81" s="66"/>
    </row>
    <row r="82" spans="1:26" ht="99.9" hidden="1" customHeight="1" x14ac:dyDescent="0.3">
      <c r="A82" s="66" t="s">
        <v>1146</v>
      </c>
      <c r="B82" s="66" t="s">
        <v>117</v>
      </c>
      <c r="C82" s="66">
        <v>8.4</v>
      </c>
      <c r="D82" s="66" t="s">
        <v>1074</v>
      </c>
      <c r="E82" s="66" t="s">
        <v>363</v>
      </c>
      <c r="F82" s="66" t="s">
        <v>1141</v>
      </c>
      <c r="G82" s="66" t="s">
        <v>1090</v>
      </c>
      <c r="H82" s="66" t="s">
        <v>1142</v>
      </c>
      <c r="I82" s="66" t="s">
        <v>1147</v>
      </c>
      <c r="J82" s="66"/>
      <c r="K82" s="66">
        <v>8</v>
      </c>
      <c r="L82" s="66">
        <v>32</v>
      </c>
      <c r="M82" s="66" t="s">
        <v>1093</v>
      </c>
      <c r="N82" s="66">
        <v>100</v>
      </c>
      <c r="O82" s="66" t="s">
        <v>1148</v>
      </c>
      <c r="P82" s="66"/>
      <c r="Q82" s="66"/>
      <c r="R82" s="66" t="s">
        <v>1145</v>
      </c>
      <c r="S82" s="66"/>
      <c r="T82" s="66"/>
      <c r="U82" s="66"/>
      <c r="V82" s="66"/>
      <c r="W82" s="66"/>
      <c r="X82" s="66"/>
      <c r="Y82" s="66"/>
      <c r="Z82" s="66"/>
    </row>
    <row r="83" spans="1:26" ht="99.9" hidden="1" customHeight="1" x14ac:dyDescent="0.3">
      <c r="A83" s="66" t="s">
        <v>1149</v>
      </c>
      <c r="B83" s="66" t="s">
        <v>117</v>
      </c>
      <c r="C83" s="66">
        <v>8.4</v>
      </c>
      <c r="D83" s="66" t="s">
        <v>1074</v>
      </c>
      <c r="E83" s="66" t="s">
        <v>363</v>
      </c>
      <c r="F83" s="66" t="s">
        <v>1141</v>
      </c>
      <c r="G83" s="66" t="s">
        <v>1090</v>
      </c>
      <c r="H83" s="66" t="s">
        <v>1142</v>
      </c>
      <c r="I83" s="66" t="s">
        <v>1150</v>
      </c>
      <c r="J83" s="66"/>
      <c r="K83" s="66">
        <v>8</v>
      </c>
      <c r="L83" s="66">
        <v>32</v>
      </c>
      <c r="M83" s="66" t="s">
        <v>1093</v>
      </c>
      <c r="N83" s="66">
        <v>100</v>
      </c>
      <c r="O83" s="66" t="s">
        <v>1151</v>
      </c>
      <c r="P83" s="66"/>
      <c r="Q83" s="66"/>
      <c r="R83" s="66" t="s">
        <v>1145</v>
      </c>
      <c r="S83" s="66"/>
      <c r="T83" s="66"/>
      <c r="U83" s="66"/>
      <c r="V83" s="66"/>
      <c r="W83" s="66"/>
      <c r="X83" s="66"/>
      <c r="Y83" s="66"/>
      <c r="Z83" s="66"/>
    </row>
    <row r="84" spans="1:26" ht="99.9" hidden="1" customHeight="1" x14ac:dyDescent="0.3">
      <c r="A84" s="66" t="s">
        <v>1152</v>
      </c>
      <c r="B84" s="66" t="s">
        <v>117</v>
      </c>
      <c r="C84" s="66">
        <v>8.4</v>
      </c>
      <c r="D84" s="66" t="s">
        <v>1074</v>
      </c>
      <c r="E84" s="66" t="s">
        <v>363</v>
      </c>
      <c r="F84" s="66" t="s">
        <v>1141</v>
      </c>
      <c r="G84" s="66" t="s">
        <v>1090</v>
      </c>
      <c r="H84" s="66" t="s">
        <v>1142</v>
      </c>
      <c r="I84" s="66" t="s">
        <v>1153</v>
      </c>
      <c r="J84" s="66"/>
      <c r="K84" s="66">
        <v>8</v>
      </c>
      <c r="L84" s="66">
        <v>32</v>
      </c>
      <c r="M84" s="66" t="s">
        <v>1093</v>
      </c>
      <c r="N84" s="66">
        <v>100</v>
      </c>
      <c r="O84" s="66" t="s">
        <v>1154</v>
      </c>
      <c r="P84" s="66"/>
      <c r="Q84" s="66"/>
      <c r="R84" s="66" t="s">
        <v>1145</v>
      </c>
      <c r="S84" s="66"/>
      <c r="T84" s="66"/>
      <c r="U84" s="66"/>
      <c r="V84" s="66"/>
      <c r="W84" s="66"/>
      <c r="X84" s="66"/>
      <c r="Y84" s="66"/>
      <c r="Z84" s="66"/>
    </row>
    <row r="85" spans="1:26" ht="99.9" hidden="1" customHeight="1" x14ac:dyDescent="0.3">
      <c r="A85" s="66" t="s">
        <v>1155</v>
      </c>
      <c r="B85" s="66" t="s">
        <v>117</v>
      </c>
      <c r="C85" s="66">
        <v>8.4</v>
      </c>
      <c r="D85" s="66" t="s">
        <v>1074</v>
      </c>
      <c r="E85" s="66" t="s">
        <v>363</v>
      </c>
      <c r="F85" s="66" t="s">
        <v>1141</v>
      </c>
      <c r="G85" s="66" t="s">
        <v>1090</v>
      </c>
      <c r="H85" s="66" t="s">
        <v>1142</v>
      </c>
      <c r="I85" s="66" t="s">
        <v>1156</v>
      </c>
      <c r="J85" s="66"/>
      <c r="K85" s="66">
        <v>8</v>
      </c>
      <c r="L85" s="66">
        <v>32</v>
      </c>
      <c r="M85" s="66" t="s">
        <v>1093</v>
      </c>
      <c r="N85" s="66">
        <v>100</v>
      </c>
      <c r="O85" s="66" t="s">
        <v>1157</v>
      </c>
      <c r="P85" s="66"/>
      <c r="Q85" s="66"/>
      <c r="R85" s="66" t="s">
        <v>1145</v>
      </c>
      <c r="S85" s="66"/>
      <c r="T85" s="66"/>
      <c r="U85" s="66"/>
      <c r="V85" s="66"/>
      <c r="W85" s="66"/>
      <c r="X85" s="66"/>
      <c r="Y85" s="66"/>
      <c r="Z85" s="66"/>
    </row>
    <row r="86" spans="1:26" ht="99.9" hidden="1" customHeight="1" x14ac:dyDescent="0.3">
      <c r="A86" s="66" t="s">
        <v>1158</v>
      </c>
      <c r="B86" s="66" t="s">
        <v>117</v>
      </c>
      <c r="C86" s="66">
        <v>8.4</v>
      </c>
      <c r="D86" s="66" t="s">
        <v>1074</v>
      </c>
      <c r="E86" s="66" t="s">
        <v>363</v>
      </c>
      <c r="F86" s="66" t="s">
        <v>1141</v>
      </c>
      <c r="G86" s="66" t="s">
        <v>1090</v>
      </c>
      <c r="H86" s="66" t="s">
        <v>1142</v>
      </c>
      <c r="I86" s="66" t="s">
        <v>1159</v>
      </c>
      <c r="J86" s="66"/>
      <c r="K86" s="66">
        <v>8</v>
      </c>
      <c r="L86" s="66">
        <v>32</v>
      </c>
      <c r="M86" s="66" t="s">
        <v>1093</v>
      </c>
      <c r="N86" s="66">
        <v>100</v>
      </c>
      <c r="O86" s="66" t="s">
        <v>1160</v>
      </c>
      <c r="P86" s="66"/>
      <c r="Q86" s="66"/>
      <c r="R86" s="66" t="s">
        <v>1145</v>
      </c>
      <c r="S86" s="66"/>
      <c r="T86" s="66"/>
      <c r="U86" s="66"/>
      <c r="V86" s="66"/>
      <c r="W86" s="66"/>
      <c r="X86" s="66"/>
      <c r="Y86" s="66"/>
      <c r="Z86" s="66"/>
    </row>
    <row r="87" spans="1:26" ht="99.9" hidden="1" customHeight="1" x14ac:dyDescent="0.3">
      <c r="A87" s="66" t="s">
        <v>1161</v>
      </c>
      <c r="B87" s="66" t="s">
        <v>117</v>
      </c>
      <c r="C87" s="66">
        <v>8.4</v>
      </c>
      <c r="D87" s="66" t="s">
        <v>1074</v>
      </c>
      <c r="E87" s="66" t="s">
        <v>363</v>
      </c>
      <c r="F87" s="66" t="s">
        <v>1135</v>
      </c>
      <c r="G87" s="66" t="s">
        <v>1090</v>
      </c>
      <c r="H87" s="66" t="s">
        <v>1162</v>
      </c>
      <c r="I87" s="66" t="s">
        <v>1163</v>
      </c>
      <c r="J87" s="66"/>
      <c r="K87" s="66">
        <v>4</v>
      </c>
      <c r="L87" s="66">
        <v>8</v>
      </c>
      <c r="M87" s="66" t="s">
        <v>1093</v>
      </c>
      <c r="N87" s="66"/>
      <c r="O87" s="66" t="s">
        <v>1164</v>
      </c>
      <c r="P87" s="66" t="s">
        <v>1165</v>
      </c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99.9" hidden="1" customHeight="1" x14ac:dyDescent="0.3">
      <c r="A88" s="66" t="s">
        <v>1166</v>
      </c>
      <c r="B88" s="66" t="s">
        <v>117</v>
      </c>
      <c r="C88" s="66">
        <v>8.4</v>
      </c>
      <c r="D88" s="66" t="s">
        <v>1074</v>
      </c>
      <c r="E88" s="66" t="s">
        <v>363</v>
      </c>
      <c r="F88" s="66" t="s">
        <v>1135</v>
      </c>
      <c r="G88" s="66" t="s">
        <v>1090</v>
      </c>
      <c r="H88" s="66" t="s">
        <v>1162</v>
      </c>
      <c r="I88" s="66" t="s">
        <v>1163</v>
      </c>
      <c r="J88" s="66"/>
      <c r="K88" s="66">
        <v>4</v>
      </c>
      <c r="L88" s="66">
        <v>8</v>
      </c>
      <c r="M88" s="66" t="s">
        <v>1093</v>
      </c>
      <c r="N88" s="66"/>
      <c r="O88" s="66" t="s">
        <v>1167</v>
      </c>
      <c r="P88" s="66" t="s">
        <v>1165</v>
      </c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99.9" hidden="1" customHeight="1" x14ac:dyDescent="0.3">
      <c r="A89" s="66" t="s">
        <v>1168</v>
      </c>
      <c r="B89" s="66" t="s">
        <v>117</v>
      </c>
      <c r="C89" s="66">
        <v>8.4</v>
      </c>
      <c r="D89" s="66" t="s">
        <v>1074</v>
      </c>
      <c r="E89" s="66" t="s">
        <v>363</v>
      </c>
      <c r="F89" s="66" t="s">
        <v>1135</v>
      </c>
      <c r="G89" s="66" t="s">
        <v>1090</v>
      </c>
      <c r="H89" s="66" t="s">
        <v>1169</v>
      </c>
      <c r="I89" s="66" t="s">
        <v>1170</v>
      </c>
      <c r="J89" s="66" t="s">
        <v>1171</v>
      </c>
      <c r="K89" s="66">
        <v>8</v>
      </c>
      <c r="L89" s="66">
        <v>64</v>
      </c>
      <c r="M89" s="66" t="s">
        <v>1093</v>
      </c>
      <c r="N89" s="66"/>
      <c r="O89" s="66" t="s">
        <v>1172</v>
      </c>
      <c r="P89" s="66" t="s">
        <v>1173</v>
      </c>
      <c r="Q89" s="66"/>
      <c r="R89" s="66"/>
      <c r="S89" s="66"/>
      <c r="T89" s="66"/>
      <c r="U89" s="66" t="s">
        <v>1174</v>
      </c>
      <c r="V89" s="66"/>
      <c r="W89" s="66"/>
      <c r="X89" s="66"/>
      <c r="Y89" s="66"/>
      <c r="Z89" s="66"/>
    </row>
    <row r="90" spans="1:26" ht="99.9" hidden="1" customHeight="1" x14ac:dyDescent="0.3">
      <c r="A90" s="66" t="s">
        <v>1175</v>
      </c>
      <c r="B90" s="66" t="s">
        <v>117</v>
      </c>
      <c r="C90" s="66">
        <v>8.4</v>
      </c>
      <c r="D90" s="66" t="s">
        <v>1074</v>
      </c>
      <c r="E90" s="66" t="s">
        <v>363</v>
      </c>
      <c r="F90" s="66" t="s">
        <v>1135</v>
      </c>
      <c r="G90" s="66" t="s">
        <v>1090</v>
      </c>
      <c r="H90" s="66" t="s">
        <v>1169</v>
      </c>
      <c r="I90" s="66" t="s">
        <v>1170</v>
      </c>
      <c r="J90" s="66" t="s">
        <v>1171</v>
      </c>
      <c r="K90" s="66">
        <v>8</v>
      </c>
      <c r="L90" s="66">
        <v>64</v>
      </c>
      <c r="M90" s="66" t="s">
        <v>1093</v>
      </c>
      <c r="N90" s="66"/>
      <c r="O90" s="66" t="s">
        <v>1176</v>
      </c>
      <c r="P90" s="66" t="s">
        <v>1173</v>
      </c>
      <c r="Q90" s="66"/>
      <c r="R90" s="66"/>
      <c r="S90" s="66"/>
      <c r="T90" s="66"/>
      <c r="U90" s="66" t="s">
        <v>1174</v>
      </c>
      <c r="V90" s="66"/>
      <c r="W90" s="66"/>
      <c r="X90" s="66"/>
      <c r="Y90" s="66"/>
      <c r="Z90" s="66"/>
    </row>
    <row r="91" spans="1:26" ht="99.9" hidden="1" customHeight="1" x14ac:dyDescent="0.3">
      <c r="A91" s="66" t="s">
        <v>1177</v>
      </c>
      <c r="B91" s="66" t="s">
        <v>117</v>
      </c>
      <c r="C91" s="66">
        <v>8.4</v>
      </c>
      <c r="D91" s="66" t="s">
        <v>1074</v>
      </c>
      <c r="E91" s="66" t="s">
        <v>363</v>
      </c>
      <c r="F91" s="66" t="s">
        <v>1135</v>
      </c>
      <c r="G91" s="66" t="s">
        <v>1090</v>
      </c>
      <c r="H91" s="66" t="s">
        <v>1169</v>
      </c>
      <c r="I91" s="66" t="s">
        <v>1178</v>
      </c>
      <c r="J91" s="66" t="s">
        <v>1171</v>
      </c>
      <c r="K91" s="66">
        <v>8</v>
      </c>
      <c r="L91" s="66">
        <v>64</v>
      </c>
      <c r="M91" s="66" t="s">
        <v>1093</v>
      </c>
      <c r="N91" s="66"/>
      <c r="O91" s="66" t="s">
        <v>1179</v>
      </c>
      <c r="P91" s="66" t="s">
        <v>1173</v>
      </c>
      <c r="Q91" s="66"/>
      <c r="R91" s="66"/>
      <c r="S91" s="66"/>
      <c r="T91" s="66"/>
      <c r="U91" s="66" t="s">
        <v>1174</v>
      </c>
      <c r="V91" s="66"/>
      <c r="W91" s="66"/>
      <c r="X91" s="66"/>
      <c r="Y91" s="66"/>
      <c r="Z91" s="66"/>
    </row>
    <row r="92" spans="1:26" ht="99.9" hidden="1" customHeight="1" x14ac:dyDescent="0.3">
      <c r="A92" s="66" t="s">
        <v>1180</v>
      </c>
      <c r="B92" s="66" t="s">
        <v>117</v>
      </c>
      <c r="C92" s="66">
        <v>8.4</v>
      </c>
      <c r="D92" s="66" t="s">
        <v>1074</v>
      </c>
      <c r="E92" s="66" t="s">
        <v>363</v>
      </c>
      <c r="F92" s="66" t="s">
        <v>1135</v>
      </c>
      <c r="G92" s="66" t="s">
        <v>1090</v>
      </c>
      <c r="H92" s="66" t="s">
        <v>1169</v>
      </c>
      <c r="I92" s="66" t="s">
        <v>1178</v>
      </c>
      <c r="J92" s="66" t="s">
        <v>1171</v>
      </c>
      <c r="K92" s="66">
        <v>8</v>
      </c>
      <c r="L92" s="66">
        <v>64</v>
      </c>
      <c r="M92" s="66" t="s">
        <v>1093</v>
      </c>
      <c r="N92" s="66"/>
      <c r="O92" s="66" t="s">
        <v>1181</v>
      </c>
      <c r="P92" s="66" t="s">
        <v>1173</v>
      </c>
      <c r="Q92" s="66"/>
      <c r="R92" s="66"/>
      <c r="S92" s="66"/>
      <c r="T92" s="66"/>
      <c r="U92" s="66" t="s">
        <v>1174</v>
      </c>
      <c r="V92" s="66"/>
      <c r="W92" s="66"/>
      <c r="X92" s="66"/>
      <c r="Y92" s="66"/>
      <c r="Z92" s="66"/>
    </row>
    <row r="93" spans="1:26" ht="99.9" hidden="1" customHeight="1" x14ac:dyDescent="0.3">
      <c r="A93" s="66" t="s">
        <v>1182</v>
      </c>
      <c r="B93" s="66" t="s">
        <v>117</v>
      </c>
      <c r="C93" s="66">
        <v>8.4</v>
      </c>
      <c r="D93" s="66" t="s">
        <v>1074</v>
      </c>
      <c r="E93" s="66" t="s">
        <v>363</v>
      </c>
      <c r="F93" s="66" t="s">
        <v>1135</v>
      </c>
      <c r="G93" s="66" t="s">
        <v>1090</v>
      </c>
      <c r="H93" s="66" t="s">
        <v>1183</v>
      </c>
      <c r="I93" s="66" t="s">
        <v>1184</v>
      </c>
      <c r="J93" s="66" t="s">
        <v>1171</v>
      </c>
      <c r="K93" s="66">
        <v>8</v>
      </c>
      <c r="L93" s="66">
        <v>64</v>
      </c>
      <c r="M93" s="66" t="s">
        <v>1093</v>
      </c>
      <c r="N93" s="66"/>
      <c r="O93" s="66" t="s">
        <v>1185</v>
      </c>
      <c r="P93" s="66" t="s">
        <v>1173</v>
      </c>
      <c r="Q93" s="66"/>
      <c r="R93" s="66"/>
      <c r="S93" s="66"/>
      <c r="T93" s="66"/>
      <c r="U93" s="66" t="s">
        <v>1174</v>
      </c>
      <c r="V93" s="66"/>
      <c r="W93" s="66"/>
      <c r="X93" s="66"/>
      <c r="Y93" s="66"/>
      <c r="Z93" s="66"/>
    </row>
    <row r="94" spans="1:26" ht="99.9" hidden="1" customHeight="1" x14ac:dyDescent="0.3">
      <c r="A94" s="66" t="s">
        <v>1186</v>
      </c>
      <c r="B94" s="66" t="s">
        <v>117</v>
      </c>
      <c r="C94" s="66">
        <v>8.4</v>
      </c>
      <c r="D94" s="66" t="s">
        <v>1074</v>
      </c>
      <c r="E94" s="66" t="s">
        <v>363</v>
      </c>
      <c r="F94" s="66" t="s">
        <v>1135</v>
      </c>
      <c r="G94" s="66" t="s">
        <v>1090</v>
      </c>
      <c r="H94" s="66" t="s">
        <v>1183</v>
      </c>
      <c r="I94" s="66" t="s">
        <v>1184</v>
      </c>
      <c r="J94" s="66" t="s">
        <v>1171</v>
      </c>
      <c r="K94" s="66">
        <v>8</v>
      </c>
      <c r="L94" s="66">
        <v>64</v>
      </c>
      <c r="M94" s="66" t="s">
        <v>1093</v>
      </c>
      <c r="N94" s="66"/>
      <c r="O94" s="66" t="s">
        <v>1187</v>
      </c>
      <c r="P94" s="66" t="s">
        <v>1173</v>
      </c>
      <c r="Q94" s="66"/>
      <c r="R94" s="66"/>
      <c r="S94" s="66"/>
      <c r="T94" s="66"/>
      <c r="U94" s="66" t="s">
        <v>1174</v>
      </c>
      <c r="V94" s="66"/>
      <c r="W94" s="66"/>
      <c r="X94" s="66"/>
      <c r="Y94" s="66"/>
      <c r="Z94" s="66"/>
    </row>
    <row r="95" spans="1:26" ht="99.9" hidden="1" customHeight="1" x14ac:dyDescent="0.3">
      <c r="A95" s="66" t="s">
        <v>1188</v>
      </c>
      <c r="B95" s="66" t="s">
        <v>117</v>
      </c>
      <c r="C95" s="66">
        <v>8.4</v>
      </c>
      <c r="D95" s="66" t="s">
        <v>1074</v>
      </c>
      <c r="E95" s="66" t="s">
        <v>363</v>
      </c>
      <c r="F95" s="66" t="s">
        <v>1189</v>
      </c>
      <c r="G95" s="66" t="s">
        <v>1090</v>
      </c>
      <c r="H95" s="66" t="s">
        <v>1183</v>
      </c>
      <c r="I95" s="66" t="s">
        <v>1190</v>
      </c>
      <c r="J95" s="66"/>
      <c r="K95" s="66">
        <v>8</v>
      </c>
      <c r="L95" s="66">
        <v>32</v>
      </c>
      <c r="M95" s="66" t="s">
        <v>1093</v>
      </c>
      <c r="N95" s="66">
        <v>100</v>
      </c>
      <c r="O95" s="66" t="s">
        <v>1191</v>
      </c>
      <c r="P95" s="66"/>
      <c r="Q95" s="66"/>
      <c r="R95" s="66" t="s">
        <v>1192</v>
      </c>
      <c r="S95" s="66"/>
      <c r="T95" s="66"/>
      <c r="U95" s="66"/>
      <c r="V95" s="66"/>
      <c r="W95" s="66"/>
      <c r="X95" s="66"/>
      <c r="Y95" s="66"/>
      <c r="Z95" s="66"/>
    </row>
    <row r="96" spans="1:26" ht="99.9" hidden="1" customHeight="1" x14ac:dyDescent="0.3">
      <c r="A96" s="66" t="s">
        <v>1193</v>
      </c>
      <c r="B96" s="66" t="s">
        <v>117</v>
      </c>
      <c r="C96" s="66">
        <v>8.4</v>
      </c>
      <c r="D96" s="66" t="s">
        <v>1074</v>
      </c>
      <c r="E96" s="66" t="s">
        <v>363</v>
      </c>
      <c r="F96" s="66" t="s">
        <v>1189</v>
      </c>
      <c r="G96" s="66" t="s">
        <v>1090</v>
      </c>
      <c r="H96" s="66" t="s">
        <v>1183</v>
      </c>
      <c r="I96" s="66" t="s">
        <v>1190</v>
      </c>
      <c r="J96" s="66"/>
      <c r="K96" s="66">
        <v>8</v>
      </c>
      <c r="L96" s="66">
        <v>32</v>
      </c>
      <c r="M96" s="66" t="s">
        <v>1093</v>
      </c>
      <c r="N96" s="66">
        <v>100</v>
      </c>
      <c r="O96" s="66" t="s">
        <v>1194</v>
      </c>
      <c r="P96" s="66"/>
      <c r="Q96" s="66"/>
      <c r="R96" s="66" t="s">
        <v>1192</v>
      </c>
      <c r="S96" s="66"/>
      <c r="T96" s="66"/>
      <c r="U96" s="66"/>
      <c r="V96" s="66"/>
      <c r="W96" s="66"/>
      <c r="X96" s="66"/>
      <c r="Y96" s="66"/>
      <c r="Z96" s="66"/>
    </row>
    <row r="97" spans="1:26" ht="99.9" hidden="1" customHeight="1" x14ac:dyDescent="0.3">
      <c r="A97" s="66" t="s">
        <v>1195</v>
      </c>
      <c r="B97" s="66" t="s">
        <v>117</v>
      </c>
      <c r="C97" s="66">
        <v>8.4</v>
      </c>
      <c r="D97" s="66" t="s">
        <v>1074</v>
      </c>
      <c r="E97" s="66" t="s">
        <v>363</v>
      </c>
      <c r="F97" s="66" t="s">
        <v>1189</v>
      </c>
      <c r="G97" s="66" t="s">
        <v>1090</v>
      </c>
      <c r="H97" s="66" t="s">
        <v>1183</v>
      </c>
      <c r="I97" s="66" t="s">
        <v>1190</v>
      </c>
      <c r="J97" s="66"/>
      <c r="K97" s="66">
        <v>8</v>
      </c>
      <c r="L97" s="66">
        <v>32</v>
      </c>
      <c r="M97" s="66" t="s">
        <v>1093</v>
      </c>
      <c r="N97" s="66">
        <v>100</v>
      </c>
      <c r="O97" s="66" t="s">
        <v>1196</v>
      </c>
      <c r="P97" s="66"/>
      <c r="Q97" s="66"/>
      <c r="R97" s="66" t="s">
        <v>1192</v>
      </c>
      <c r="S97" s="66"/>
      <c r="T97" s="66"/>
      <c r="U97" s="66"/>
      <c r="V97" s="66"/>
      <c r="W97" s="66"/>
      <c r="X97" s="66"/>
      <c r="Y97" s="66"/>
      <c r="Z97" s="66"/>
    </row>
    <row r="98" spans="1:26" ht="99.9" hidden="1" customHeight="1" x14ac:dyDescent="0.3">
      <c r="A98" s="66" t="s">
        <v>1197</v>
      </c>
      <c r="B98" s="66" t="s">
        <v>117</v>
      </c>
      <c r="C98" s="66">
        <v>8.4</v>
      </c>
      <c r="D98" s="66" t="s">
        <v>1074</v>
      </c>
      <c r="E98" s="66" t="s">
        <v>363</v>
      </c>
      <c r="F98" s="66" t="s">
        <v>1189</v>
      </c>
      <c r="G98" s="66" t="s">
        <v>1090</v>
      </c>
      <c r="H98" s="66" t="s">
        <v>1183</v>
      </c>
      <c r="I98" s="66" t="s">
        <v>1190</v>
      </c>
      <c r="J98" s="66"/>
      <c r="K98" s="66">
        <v>8</v>
      </c>
      <c r="L98" s="66">
        <v>32</v>
      </c>
      <c r="M98" s="66" t="s">
        <v>1093</v>
      </c>
      <c r="N98" s="66">
        <v>100</v>
      </c>
      <c r="O98" s="66" t="s">
        <v>1198</v>
      </c>
      <c r="P98" s="66"/>
      <c r="Q98" s="66"/>
      <c r="R98" s="66" t="s">
        <v>1192</v>
      </c>
      <c r="S98" s="66"/>
      <c r="T98" s="66"/>
      <c r="U98" s="66"/>
      <c r="V98" s="66"/>
      <c r="W98" s="66"/>
      <c r="X98" s="66"/>
      <c r="Y98" s="66"/>
      <c r="Z98" s="66"/>
    </row>
    <row r="99" spans="1:26" ht="99.9" hidden="1" customHeight="1" x14ac:dyDescent="0.3">
      <c r="A99" s="66" t="s">
        <v>1199</v>
      </c>
      <c r="B99" s="66" t="s">
        <v>117</v>
      </c>
      <c r="C99" s="66">
        <v>8.4</v>
      </c>
      <c r="D99" s="66" t="s">
        <v>1074</v>
      </c>
      <c r="E99" s="66" t="s">
        <v>363</v>
      </c>
      <c r="F99" s="66" t="s">
        <v>1189</v>
      </c>
      <c r="G99" s="66" t="s">
        <v>1090</v>
      </c>
      <c r="H99" s="66" t="s">
        <v>1183</v>
      </c>
      <c r="I99" s="66" t="s">
        <v>1190</v>
      </c>
      <c r="J99" s="66"/>
      <c r="K99" s="66">
        <v>8</v>
      </c>
      <c r="L99" s="66">
        <v>32</v>
      </c>
      <c r="M99" s="66" t="s">
        <v>1093</v>
      </c>
      <c r="N99" s="66">
        <v>100</v>
      </c>
      <c r="O99" s="66" t="s">
        <v>1200</v>
      </c>
      <c r="P99" s="66"/>
      <c r="Q99" s="66"/>
      <c r="R99" s="66" t="s">
        <v>1192</v>
      </c>
      <c r="S99" s="66"/>
      <c r="T99" s="66"/>
      <c r="U99" s="66"/>
      <c r="V99" s="66"/>
      <c r="W99" s="66"/>
      <c r="X99" s="66"/>
      <c r="Y99" s="66"/>
      <c r="Z99" s="66"/>
    </row>
    <row r="100" spans="1:26" ht="99.9" hidden="1" customHeight="1" x14ac:dyDescent="0.3">
      <c r="A100" s="66" t="s">
        <v>1201</v>
      </c>
      <c r="B100" s="66" t="s">
        <v>117</v>
      </c>
      <c r="C100" s="66">
        <v>8.4</v>
      </c>
      <c r="D100" s="66" t="s">
        <v>1074</v>
      </c>
      <c r="E100" s="66" t="s">
        <v>363</v>
      </c>
      <c r="F100" s="66" t="s">
        <v>1189</v>
      </c>
      <c r="G100" s="66" t="s">
        <v>1090</v>
      </c>
      <c r="H100" s="66" t="s">
        <v>1183</v>
      </c>
      <c r="I100" s="66" t="s">
        <v>1190</v>
      </c>
      <c r="J100" s="66"/>
      <c r="K100" s="66">
        <v>8</v>
      </c>
      <c r="L100" s="66">
        <v>32</v>
      </c>
      <c r="M100" s="66" t="s">
        <v>1093</v>
      </c>
      <c r="N100" s="66">
        <v>100</v>
      </c>
      <c r="O100" s="66" t="s">
        <v>1202</v>
      </c>
      <c r="P100" s="66"/>
      <c r="Q100" s="66"/>
      <c r="R100" s="66" t="s">
        <v>1192</v>
      </c>
      <c r="S100" s="66"/>
      <c r="T100" s="66"/>
      <c r="U100" s="66"/>
      <c r="V100" s="66"/>
      <c r="W100" s="66"/>
      <c r="X100" s="66"/>
      <c r="Y100" s="66"/>
      <c r="Z100" s="66"/>
    </row>
    <row r="101" spans="1:26" ht="99.9" hidden="1" customHeight="1" x14ac:dyDescent="0.3">
      <c r="A101" s="66" t="s">
        <v>1203</v>
      </c>
      <c r="B101" s="66" t="s">
        <v>117</v>
      </c>
      <c r="C101" s="66">
        <v>8.4</v>
      </c>
      <c r="D101" s="66" t="s">
        <v>1074</v>
      </c>
      <c r="E101" s="66" t="s">
        <v>363</v>
      </c>
      <c r="F101" s="66" t="s">
        <v>1189</v>
      </c>
      <c r="G101" s="66" t="s">
        <v>1090</v>
      </c>
      <c r="H101" s="66" t="s">
        <v>1183</v>
      </c>
      <c r="I101" s="66" t="s">
        <v>1190</v>
      </c>
      <c r="J101" s="66"/>
      <c r="K101" s="66">
        <v>8</v>
      </c>
      <c r="L101" s="66">
        <v>32</v>
      </c>
      <c r="M101" s="66" t="s">
        <v>1093</v>
      </c>
      <c r="N101" s="66">
        <v>100</v>
      </c>
      <c r="O101" s="66" t="s">
        <v>1204</v>
      </c>
      <c r="P101" s="66"/>
      <c r="Q101" s="66"/>
      <c r="R101" s="66" t="s">
        <v>1192</v>
      </c>
      <c r="S101" s="66"/>
      <c r="T101" s="66"/>
      <c r="U101" s="66"/>
      <c r="V101" s="66"/>
      <c r="W101" s="66"/>
      <c r="X101" s="66"/>
      <c r="Y101" s="66"/>
      <c r="Z101" s="66"/>
    </row>
    <row r="102" spans="1:26" ht="99.9" hidden="1" customHeight="1" x14ac:dyDescent="0.3">
      <c r="A102" s="66" t="s">
        <v>1205</v>
      </c>
      <c r="B102" s="66" t="s">
        <v>117</v>
      </c>
      <c r="C102" s="66">
        <v>8.4</v>
      </c>
      <c r="D102" s="66" t="s">
        <v>1074</v>
      </c>
      <c r="E102" s="66" t="s">
        <v>363</v>
      </c>
      <c r="F102" s="66" t="s">
        <v>1189</v>
      </c>
      <c r="G102" s="66" t="s">
        <v>1090</v>
      </c>
      <c r="H102" s="66" t="s">
        <v>1183</v>
      </c>
      <c r="I102" s="66" t="s">
        <v>1190</v>
      </c>
      <c r="J102" s="66"/>
      <c r="K102" s="66">
        <v>8</v>
      </c>
      <c r="L102" s="66">
        <v>32</v>
      </c>
      <c r="M102" s="66" t="s">
        <v>1093</v>
      </c>
      <c r="N102" s="66">
        <v>100</v>
      </c>
      <c r="O102" s="66" t="s">
        <v>1206</v>
      </c>
      <c r="P102" s="66"/>
      <c r="Q102" s="66"/>
      <c r="R102" s="66" t="s">
        <v>1192</v>
      </c>
      <c r="S102" s="66"/>
      <c r="T102" s="66"/>
      <c r="U102" s="66"/>
      <c r="V102" s="66"/>
      <c r="W102" s="66"/>
      <c r="X102" s="66"/>
      <c r="Y102" s="66"/>
      <c r="Z102" s="66"/>
    </row>
    <row r="103" spans="1:26" ht="99.9" hidden="1" customHeight="1" x14ac:dyDescent="0.3">
      <c r="A103" s="66" t="s">
        <v>1207</v>
      </c>
      <c r="B103" s="66" t="s">
        <v>117</v>
      </c>
      <c r="C103" s="66">
        <v>8.4</v>
      </c>
      <c r="D103" s="66" t="s">
        <v>1074</v>
      </c>
      <c r="E103" s="66" t="s">
        <v>363</v>
      </c>
      <c r="F103" s="66" t="s">
        <v>1189</v>
      </c>
      <c r="G103" s="66" t="s">
        <v>1090</v>
      </c>
      <c r="H103" s="66" t="s">
        <v>1183</v>
      </c>
      <c r="I103" s="66" t="s">
        <v>1208</v>
      </c>
      <c r="J103" s="66"/>
      <c r="K103" s="66">
        <v>8</v>
      </c>
      <c r="L103" s="66">
        <v>32</v>
      </c>
      <c r="M103" s="66" t="s">
        <v>1093</v>
      </c>
      <c r="N103" s="66">
        <v>100</v>
      </c>
      <c r="O103" s="66" t="s">
        <v>1209</v>
      </c>
      <c r="P103" s="66"/>
      <c r="Q103" s="66"/>
      <c r="R103" s="66" t="s">
        <v>1210</v>
      </c>
      <c r="S103" s="66"/>
      <c r="T103" s="66"/>
      <c r="U103" s="66"/>
      <c r="V103" s="66"/>
      <c r="W103" s="66"/>
      <c r="X103" s="66"/>
      <c r="Y103" s="66"/>
      <c r="Z103" s="66"/>
    </row>
    <row r="104" spans="1:26" ht="99.9" hidden="1" customHeight="1" x14ac:dyDescent="0.3">
      <c r="A104" s="66" t="s">
        <v>1211</v>
      </c>
      <c r="B104" s="66" t="s">
        <v>117</v>
      </c>
      <c r="C104" s="66">
        <v>8.4</v>
      </c>
      <c r="D104" s="66" t="s">
        <v>1074</v>
      </c>
      <c r="E104" s="66" t="s">
        <v>363</v>
      </c>
      <c r="F104" s="66" t="s">
        <v>1189</v>
      </c>
      <c r="G104" s="66" t="s">
        <v>1090</v>
      </c>
      <c r="H104" s="66" t="s">
        <v>1183</v>
      </c>
      <c r="I104" s="66" t="s">
        <v>1208</v>
      </c>
      <c r="J104" s="66"/>
      <c r="K104" s="66">
        <v>8</v>
      </c>
      <c r="L104" s="66">
        <v>32</v>
      </c>
      <c r="M104" s="66" t="s">
        <v>1093</v>
      </c>
      <c r="N104" s="66">
        <v>100</v>
      </c>
      <c r="O104" s="66" t="s">
        <v>1212</v>
      </c>
      <c r="P104" s="66"/>
      <c r="Q104" s="66"/>
      <c r="R104" s="66" t="s">
        <v>1210</v>
      </c>
      <c r="S104" s="66"/>
      <c r="T104" s="66"/>
      <c r="U104" s="66"/>
      <c r="V104" s="66"/>
      <c r="W104" s="66"/>
      <c r="X104" s="66"/>
      <c r="Y104" s="66"/>
      <c r="Z104" s="66"/>
    </row>
    <row r="105" spans="1:26" ht="99.9" hidden="1" customHeight="1" x14ac:dyDescent="0.3">
      <c r="A105" s="66" t="s">
        <v>1213</v>
      </c>
      <c r="B105" s="66" t="s">
        <v>117</v>
      </c>
      <c r="C105" s="66">
        <v>8.4</v>
      </c>
      <c r="D105" s="66" t="s">
        <v>1074</v>
      </c>
      <c r="E105" s="66" t="s">
        <v>363</v>
      </c>
      <c r="F105" s="66" t="s">
        <v>1189</v>
      </c>
      <c r="G105" s="66" t="s">
        <v>1090</v>
      </c>
      <c r="H105" s="66" t="s">
        <v>1183</v>
      </c>
      <c r="I105" s="66" t="s">
        <v>1208</v>
      </c>
      <c r="J105" s="66"/>
      <c r="K105" s="66">
        <v>8</v>
      </c>
      <c r="L105" s="66">
        <v>32</v>
      </c>
      <c r="M105" s="66" t="s">
        <v>1093</v>
      </c>
      <c r="N105" s="66">
        <v>100</v>
      </c>
      <c r="O105" s="66" t="s">
        <v>1214</v>
      </c>
      <c r="P105" s="66"/>
      <c r="Q105" s="66"/>
      <c r="R105" s="66" t="s">
        <v>1210</v>
      </c>
      <c r="S105" s="66"/>
      <c r="T105" s="66"/>
      <c r="U105" s="66"/>
      <c r="V105" s="66"/>
      <c r="W105" s="66"/>
      <c r="X105" s="66"/>
      <c r="Y105" s="66"/>
      <c r="Z105" s="66"/>
    </row>
    <row r="106" spans="1:26" ht="99.9" hidden="1" customHeight="1" x14ac:dyDescent="0.3">
      <c r="A106" s="66" t="s">
        <v>1215</v>
      </c>
      <c r="B106" s="66" t="s">
        <v>117</v>
      </c>
      <c r="C106" s="66">
        <v>8.4</v>
      </c>
      <c r="D106" s="66" t="s">
        <v>1074</v>
      </c>
      <c r="E106" s="66" t="s">
        <v>363</v>
      </c>
      <c r="F106" s="66" t="s">
        <v>1189</v>
      </c>
      <c r="G106" s="66" t="s">
        <v>1090</v>
      </c>
      <c r="H106" s="66" t="s">
        <v>1183</v>
      </c>
      <c r="I106" s="66" t="s">
        <v>1208</v>
      </c>
      <c r="J106" s="66"/>
      <c r="K106" s="66">
        <v>8</v>
      </c>
      <c r="L106" s="66">
        <v>32</v>
      </c>
      <c r="M106" s="66" t="s">
        <v>1093</v>
      </c>
      <c r="N106" s="66">
        <v>100</v>
      </c>
      <c r="O106" s="66" t="s">
        <v>1216</v>
      </c>
      <c r="P106" s="66"/>
      <c r="Q106" s="66"/>
      <c r="R106" s="66" t="s">
        <v>1210</v>
      </c>
      <c r="S106" s="66"/>
      <c r="T106" s="66"/>
      <c r="U106" s="66"/>
      <c r="V106" s="66"/>
      <c r="W106" s="66"/>
      <c r="X106" s="66"/>
      <c r="Y106" s="66"/>
      <c r="Z106" s="66"/>
    </row>
    <row r="107" spans="1:26" ht="99.9" hidden="1" customHeight="1" x14ac:dyDescent="0.3">
      <c r="A107" s="66" t="s">
        <v>1217</v>
      </c>
      <c r="B107" s="66" t="s">
        <v>117</v>
      </c>
      <c r="C107" s="66">
        <v>8.4</v>
      </c>
      <c r="D107" s="66" t="s">
        <v>1074</v>
      </c>
      <c r="E107" s="66" t="s">
        <v>363</v>
      </c>
      <c r="F107" s="66" t="s">
        <v>1189</v>
      </c>
      <c r="G107" s="66" t="s">
        <v>1090</v>
      </c>
      <c r="H107" s="66" t="s">
        <v>1183</v>
      </c>
      <c r="I107" s="66" t="s">
        <v>1208</v>
      </c>
      <c r="J107" s="66"/>
      <c r="K107" s="66">
        <v>8</v>
      </c>
      <c r="L107" s="66">
        <v>32</v>
      </c>
      <c r="M107" s="66" t="s">
        <v>1093</v>
      </c>
      <c r="N107" s="66">
        <v>100</v>
      </c>
      <c r="O107" s="66" t="s">
        <v>1218</v>
      </c>
      <c r="P107" s="66"/>
      <c r="Q107" s="66"/>
      <c r="R107" s="66" t="s">
        <v>1210</v>
      </c>
      <c r="S107" s="66"/>
      <c r="T107" s="66"/>
      <c r="U107" s="66"/>
      <c r="V107" s="66"/>
      <c r="W107" s="66"/>
      <c r="X107" s="66"/>
      <c r="Y107" s="66"/>
      <c r="Z107" s="66"/>
    </row>
    <row r="108" spans="1:26" ht="99.9" hidden="1" customHeight="1" x14ac:dyDescent="0.3">
      <c r="A108" s="66" t="s">
        <v>1219</v>
      </c>
      <c r="B108" s="66" t="s">
        <v>117</v>
      </c>
      <c r="C108" s="66">
        <v>8.4</v>
      </c>
      <c r="D108" s="66" t="s">
        <v>1074</v>
      </c>
      <c r="E108" s="66" t="s">
        <v>363</v>
      </c>
      <c r="F108" s="66" t="s">
        <v>1189</v>
      </c>
      <c r="G108" s="66" t="s">
        <v>1090</v>
      </c>
      <c r="H108" s="66" t="s">
        <v>1183</v>
      </c>
      <c r="I108" s="66" t="s">
        <v>1208</v>
      </c>
      <c r="J108" s="66"/>
      <c r="K108" s="66">
        <v>8</v>
      </c>
      <c r="L108" s="66">
        <v>32</v>
      </c>
      <c r="M108" s="66" t="s">
        <v>1093</v>
      </c>
      <c r="N108" s="66">
        <v>100</v>
      </c>
      <c r="O108" s="66" t="s">
        <v>1220</v>
      </c>
      <c r="P108" s="66"/>
      <c r="Q108" s="66"/>
      <c r="R108" s="66" t="s">
        <v>1210</v>
      </c>
      <c r="S108" s="66"/>
      <c r="T108" s="66"/>
      <c r="U108" s="66"/>
      <c r="V108" s="66"/>
      <c r="W108" s="66"/>
      <c r="X108" s="66"/>
      <c r="Y108" s="66"/>
      <c r="Z108" s="66"/>
    </row>
    <row r="109" spans="1:26" ht="99.9" hidden="1" customHeight="1" x14ac:dyDescent="0.3">
      <c r="A109" s="66" t="s">
        <v>1221</v>
      </c>
      <c r="B109" s="66" t="s">
        <v>117</v>
      </c>
      <c r="C109" s="66">
        <v>8.4</v>
      </c>
      <c r="D109" s="66" t="s">
        <v>1074</v>
      </c>
      <c r="E109" s="66" t="s">
        <v>363</v>
      </c>
      <c r="F109" s="66" t="s">
        <v>1189</v>
      </c>
      <c r="G109" s="66" t="s">
        <v>1090</v>
      </c>
      <c r="H109" s="66" t="s">
        <v>1183</v>
      </c>
      <c r="I109" s="66" t="s">
        <v>1208</v>
      </c>
      <c r="J109" s="66"/>
      <c r="K109" s="66">
        <v>8</v>
      </c>
      <c r="L109" s="66">
        <v>32</v>
      </c>
      <c r="M109" s="66" t="s">
        <v>1093</v>
      </c>
      <c r="N109" s="66">
        <v>100</v>
      </c>
      <c r="O109" s="66" t="s">
        <v>1222</v>
      </c>
      <c r="P109" s="66"/>
      <c r="Q109" s="66"/>
      <c r="R109" s="66" t="s">
        <v>1210</v>
      </c>
      <c r="S109" s="66"/>
      <c r="T109" s="66"/>
      <c r="U109" s="66"/>
      <c r="V109" s="66"/>
      <c r="W109" s="66"/>
      <c r="X109" s="66"/>
      <c r="Y109" s="66"/>
      <c r="Z109" s="66"/>
    </row>
    <row r="110" spans="1:26" ht="99.9" hidden="1" customHeight="1" x14ac:dyDescent="0.3">
      <c r="A110" s="66" t="s">
        <v>1223</v>
      </c>
      <c r="B110" s="66" t="s">
        <v>117</v>
      </c>
      <c r="C110" s="66">
        <v>8.4</v>
      </c>
      <c r="D110" s="66" t="s">
        <v>1074</v>
      </c>
      <c r="E110" s="66" t="s">
        <v>363</v>
      </c>
      <c r="F110" s="66" t="s">
        <v>1189</v>
      </c>
      <c r="G110" s="66" t="s">
        <v>1090</v>
      </c>
      <c r="H110" s="66" t="s">
        <v>1183</v>
      </c>
      <c r="I110" s="66" t="s">
        <v>1208</v>
      </c>
      <c r="J110" s="66"/>
      <c r="K110" s="66">
        <v>8</v>
      </c>
      <c r="L110" s="66">
        <v>32</v>
      </c>
      <c r="M110" s="66" t="s">
        <v>1093</v>
      </c>
      <c r="N110" s="66">
        <v>100</v>
      </c>
      <c r="O110" s="66" t="s">
        <v>1224</v>
      </c>
      <c r="P110" s="66"/>
      <c r="Q110" s="66"/>
      <c r="R110" s="66" t="s">
        <v>1210</v>
      </c>
      <c r="S110" s="66"/>
      <c r="T110" s="66"/>
      <c r="U110" s="66"/>
      <c r="V110" s="66"/>
      <c r="W110" s="66"/>
      <c r="X110" s="66"/>
      <c r="Y110" s="66"/>
      <c r="Z110" s="66"/>
    </row>
    <row r="111" spans="1:26" ht="99.9" hidden="1" customHeight="1" x14ac:dyDescent="0.3">
      <c r="A111" s="66" t="s">
        <v>1225</v>
      </c>
      <c r="B111" s="66" t="s">
        <v>117</v>
      </c>
      <c r="C111" s="66">
        <v>8.4</v>
      </c>
      <c r="D111" s="66" t="s">
        <v>1074</v>
      </c>
      <c r="E111" s="66" t="s">
        <v>363</v>
      </c>
      <c r="F111" s="66" t="s">
        <v>1189</v>
      </c>
      <c r="G111" s="66" t="s">
        <v>1090</v>
      </c>
      <c r="H111" s="66" t="s">
        <v>1183</v>
      </c>
      <c r="I111" s="66" t="s">
        <v>1208</v>
      </c>
      <c r="J111" s="66"/>
      <c r="K111" s="66">
        <v>8</v>
      </c>
      <c r="L111" s="66">
        <v>32</v>
      </c>
      <c r="M111" s="66" t="s">
        <v>1093</v>
      </c>
      <c r="N111" s="66">
        <v>100</v>
      </c>
      <c r="O111" s="66" t="s">
        <v>1226</v>
      </c>
      <c r="P111" s="66"/>
      <c r="Q111" s="66"/>
      <c r="R111" s="66" t="s">
        <v>1210</v>
      </c>
      <c r="S111" s="66"/>
      <c r="T111" s="66"/>
      <c r="U111" s="66"/>
      <c r="V111" s="66"/>
      <c r="W111" s="66"/>
      <c r="X111" s="66"/>
      <c r="Y111" s="66"/>
      <c r="Z111" s="66"/>
    </row>
    <row r="112" spans="1:26" ht="99.9" hidden="1" customHeight="1" x14ac:dyDescent="0.3">
      <c r="A112" s="66" t="s">
        <v>1227</v>
      </c>
      <c r="B112" s="66" t="s">
        <v>117</v>
      </c>
      <c r="C112" s="66">
        <v>8.4</v>
      </c>
      <c r="D112" s="66" t="s">
        <v>1074</v>
      </c>
      <c r="E112" s="66" t="s">
        <v>363</v>
      </c>
      <c r="F112" s="66" t="s">
        <v>1189</v>
      </c>
      <c r="G112" s="66" t="s">
        <v>1090</v>
      </c>
      <c r="H112" s="66" t="s">
        <v>1183</v>
      </c>
      <c r="I112" s="66" t="s">
        <v>1208</v>
      </c>
      <c r="J112" s="66"/>
      <c r="K112" s="66">
        <v>8</v>
      </c>
      <c r="L112" s="66">
        <v>32</v>
      </c>
      <c r="M112" s="66" t="s">
        <v>1093</v>
      </c>
      <c r="N112" s="66">
        <v>100</v>
      </c>
      <c r="O112" s="66" t="s">
        <v>1228</v>
      </c>
      <c r="P112" s="66"/>
      <c r="Q112" s="66"/>
      <c r="R112" s="66" t="s">
        <v>1210</v>
      </c>
      <c r="S112" s="66"/>
      <c r="T112" s="66"/>
      <c r="U112" s="66"/>
      <c r="V112" s="66"/>
      <c r="W112" s="66"/>
      <c r="X112" s="66"/>
      <c r="Y112" s="66"/>
      <c r="Z112" s="66"/>
    </row>
    <row r="113" spans="1:26" ht="99.9" hidden="1" customHeight="1" x14ac:dyDescent="0.3">
      <c r="A113" s="66" t="s">
        <v>1229</v>
      </c>
      <c r="B113" s="66" t="s">
        <v>117</v>
      </c>
      <c r="C113" s="66">
        <v>8.4</v>
      </c>
      <c r="D113" s="66" t="s">
        <v>1074</v>
      </c>
      <c r="E113" s="66" t="s">
        <v>363</v>
      </c>
      <c r="F113" s="66" t="s">
        <v>1189</v>
      </c>
      <c r="G113" s="66" t="s">
        <v>1090</v>
      </c>
      <c r="H113" s="66" t="s">
        <v>1183</v>
      </c>
      <c r="I113" s="66" t="s">
        <v>1230</v>
      </c>
      <c r="J113" s="66"/>
      <c r="K113" s="66">
        <v>8</v>
      </c>
      <c r="L113" s="66">
        <v>32</v>
      </c>
      <c r="M113" s="66" t="s">
        <v>1093</v>
      </c>
      <c r="N113" s="66">
        <v>100</v>
      </c>
      <c r="O113" s="66" t="s">
        <v>1231</v>
      </c>
      <c r="P113" s="66"/>
      <c r="Q113" s="66"/>
      <c r="R113" s="66" t="s">
        <v>1232</v>
      </c>
      <c r="S113" s="66"/>
      <c r="T113" s="66"/>
      <c r="U113" s="66"/>
      <c r="V113" s="66"/>
      <c r="W113" s="66"/>
      <c r="X113" s="66"/>
      <c r="Y113" s="66"/>
      <c r="Z113" s="66"/>
    </row>
    <row r="114" spans="1:26" ht="99.9" hidden="1" customHeight="1" x14ac:dyDescent="0.3">
      <c r="A114" s="66" t="s">
        <v>1233</v>
      </c>
      <c r="B114" s="66" t="s">
        <v>117</v>
      </c>
      <c r="C114" s="66">
        <v>8.4</v>
      </c>
      <c r="D114" s="66" t="s">
        <v>1074</v>
      </c>
      <c r="E114" s="66" t="s">
        <v>363</v>
      </c>
      <c r="F114" s="66" t="s">
        <v>1189</v>
      </c>
      <c r="G114" s="66" t="s">
        <v>1090</v>
      </c>
      <c r="H114" s="66" t="s">
        <v>1183</v>
      </c>
      <c r="I114" s="66" t="s">
        <v>1230</v>
      </c>
      <c r="J114" s="66"/>
      <c r="K114" s="66">
        <v>8</v>
      </c>
      <c r="L114" s="66">
        <v>32</v>
      </c>
      <c r="M114" s="66" t="s">
        <v>1093</v>
      </c>
      <c r="N114" s="66">
        <v>100</v>
      </c>
      <c r="O114" s="66" t="s">
        <v>1234</v>
      </c>
      <c r="P114" s="66"/>
      <c r="Q114" s="66"/>
      <c r="R114" s="66" t="s">
        <v>1232</v>
      </c>
      <c r="S114" s="66"/>
      <c r="T114" s="66"/>
      <c r="U114" s="66"/>
      <c r="V114" s="66"/>
      <c r="W114" s="66"/>
      <c r="X114" s="66"/>
      <c r="Y114" s="66"/>
      <c r="Z114" s="66"/>
    </row>
    <row r="115" spans="1:26" ht="99.9" hidden="1" customHeight="1" x14ac:dyDescent="0.3">
      <c r="A115" s="66" t="s">
        <v>1235</v>
      </c>
      <c r="B115" s="66" t="s">
        <v>117</v>
      </c>
      <c r="C115" s="66">
        <v>8.4</v>
      </c>
      <c r="D115" s="66" t="s">
        <v>1074</v>
      </c>
      <c r="E115" s="66" t="s">
        <v>363</v>
      </c>
      <c r="F115" s="66" t="s">
        <v>1189</v>
      </c>
      <c r="G115" s="66" t="s">
        <v>1090</v>
      </c>
      <c r="H115" s="66" t="s">
        <v>1183</v>
      </c>
      <c r="I115" s="66" t="s">
        <v>1230</v>
      </c>
      <c r="J115" s="66"/>
      <c r="K115" s="66">
        <v>8</v>
      </c>
      <c r="L115" s="66">
        <v>32</v>
      </c>
      <c r="M115" s="66" t="s">
        <v>1093</v>
      </c>
      <c r="N115" s="66">
        <v>100</v>
      </c>
      <c r="O115" s="66" t="s">
        <v>1236</v>
      </c>
      <c r="P115" s="66"/>
      <c r="Q115" s="66"/>
      <c r="R115" s="66" t="s">
        <v>1232</v>
      </c>
      <c r="S115" s="66"/>
      <c r="T115" s="66"/>
      <c r="U115" s="66"/>
      <c r="V115" s="66"/>
      <c r="W115" s="66"/>
      <c r="X115" s="66"/>
      <c r="Y115" s="66"/>
      <c r="Z115" s="66"/>
    </row>
    <row r="116" spans="1:26" ht="99.9" hidden="1" customHeight="1" x14ac:dyDescent="0.3">
      <c r="A116" s="66" t="s">
        <v>1237</v>
      </c>
      <c r="B116" s="66" t="s">
        <v>117</v>
      </c>
      <c r="C116" s="66">
        <v>8.4</v>
      </c>
      <c r="D116" s="66" t="s">
        <v>1074</v>
      </c>
      <c r="E116" s="66" t="s">
        <v>363</v>
      </c>
      <c r="F116" s="66" t="s">
        <v>1189</v>
      </c>
      <c r="G116" s="66" t="s">
        <v>1090</v>
      </c>
      <c r="H116" s="66" t="s">
        <v>1183</v>
      </c>
      <c r="I116" s="66" t="s">
        <v>1238</v>
      </c>
      <c r="J116" s="66"/>
      <c r="K116" s="66">
        <v>8</v>
      </c>
      <c r="L116" s="66">
        <v>32</v>
      </c>
      <c r="M116" s="66" t="s">
        <v>1093</v>
      </c>
      <c r="N116" s="66">
        <v>100</v>
      </c>
      <c r="O116" s="66" t="s">
        <v>1239</v>
      </c>
      <c r="P116" s="66"/>
      <c r="Q116" s="66"/>
      <c r="R116" s="66" t="s">
        <v>1232</v>
      </c>
      <c r="S116" s="66"/>
      <c r="T116" s="66"/>
      <c r="U116" s="66"/>
      <c r="V116" s="66"/>
      <c r="W116" s="66"/>
      <c r="X116" s="66"/>
      <c r="Y116" s="66"/>
      <c r="Z116" s="66"/>
    </row>
    <row r="117" spans="1:26" ht="99.9" hidden="1" customHeight="1" x14ac:dyDescent="0.3">
      <c r="A117" s="66" t="s">
        <v>1240</v>
      </c>
      <c r="B117" s="66" t="s">
        <v>117</v>
      </c>
      <c r="C117" s="66">
        <v>8.4</v>
      </c>
      <c r="D117" s="66" t="s">
        <v>1074</v>
      </c>
      <c r="E117" s="66" t="s">
        <v>363</v>
      </c>
      <c r="F117" s="66" t="s">
        <v>1189</v>
      </c>
      <c r="G117" s="66" t="s">
        <v>1090</v>
      </c>
      <c r="H117" s="66" t="s">
        <v>1183</v>
      </c>
      <c r="I117" s="66" t="s">
        <v>1238</v>
      </c>
      <c r="J117" s="66"/>
      <c r="K117" s="66">
        <v>8</v>
      </c>
      <c r="L117" s="66">
        <v>32</v>
      </c>
      <c r="M117" s="66" t="s">
        <v>1093</v>
      </c>
      <c r="N117" s="66">
        <v>100</v>
      </c>
      <c r="O117" s="66" t="s">
        <v>1241</v>
      </c>
      <c r="P117" s="66"/>
      <c r="Q117" s="66"/>
      <c r="R117" s="66" t="s">
        <v>1232</v>
      </c>
      <c r="S117" s="66"/>
      <c r="T117" s="66"/>
      <c r="U117" s="66"/>
      <c r="V117" s="66"/>
      <c r="W117" s="66"/>
      <c r="X117" s="66"/>
      <c r="Y117" s="66"/>
      <c r="Z117" s="66"/>
    </row>
    <row r="118" spans="1:26" ht="99.9" hidden="1" customHeight="1" x14ac:dyDescent="0.3">
      <c r="A118" s="66" t="s">
        <v>1242</v>
      </c>
      <c r="B118" s="66" t="s">
        <v>117</v>
      </c>
      <c r="C118" s="66">
        <v>8.4</v>
      </c>
      <c r="D118" s="66" t="s">
        <v>1074</v>
      </c>
      <c r="E118" s="66" t="s">
        <v>363</v>
      </c>
      <c r="F118" s="66" t="s">
        <v>1189</v>
      </c>
      <c r="G118" s="66" t="s">
        <v>1090</v>
      </c>
      <c r="H118" s="66" t="s">
        <v>1183</v>
      </c>
      <c r="I118" s="66" t="s">
        <v>1238</v>
      </c>
      <c r="J118" s="66"/>
      <c r="K118" s="66">
        <v>8</v>
      </c>
      <c r="L118" s="66">
        <v>32</v>
      </c>
      <c r="M118" s="66" t="s">
        <v>1093</v>
      </c>
      <c r="N118" s="66">
        <v>100</v>
      </c>
      <c r="O118" s="66" t="s">
        <v>1243</v>
      </c>
      <c r="P118" s="66"/>
      <c r="Q118" s="66"/>
      <c r="R118" s="66" t="s">
        <v>1232</v>
      </c>
      <c r="S118" s="66"/>
      <c r="T118" s="66"/>
      <c r="U118" s="66"/>
      <c r="V118" s="66"/>
      <c r="W118" s="66"/>
      <c r="X118" s="66"/>
      <c r="Y118" s="66"/>
      <c r="Z118" s="66"/>
    </row>
    <row r="119" spans="1:26" ht="99.9" hidden="1" customHeight="1" x14ac:dyDescent="0.3">
      <c r="A119" s="66" t="s">
        <v>1244</v>
      </c>
      <c r="B119" s="66" t="s">
        <v>117</v>
      </c>
      <c r="C119" s="66">
        <v>8.4</v>
      </c>
      <c r="D119" s="66" t="s">
        <v>1074</v>
      </c>
      <c r="E119" s="66" t="s">
        <v>363</v>
      </c>
      <c r="F119" s="66" t="s">
        <v>1141</v>
      </c>
      <c r="G119" s="66" t="s">
        <v>1090</v>
      </c>
      <c r="H119" s="66" t="s">
        <v>1183</v>
      </c>
      <c r="I119" s="66" t="s">
        <v>1245</v>
      </c>
      <c r="J119" s="66"/>
      <c r="K119" s="66">
        <v>8</v>
      </c>
      <c r="L119" s="66">
        <v>32</v>
      </c>
      <c r="M119" s="66" t="s">
        <v>1093</v>
      </c>
      <c r="N119" s="66">
        <v>100</v>
      </c>
      <c r="O119" s="66" t="s">
        <v>1246</v>
      </c>
      <c r="P119" s="66"/>
      <c r="Q119" s="66"/>
      <c r="R119" s="66" t="s">
        <v>1247</v>
      </c>
      <c r="S119" s="66"/>
      <c r="T119" s="66"/>
      <c r="U119" s="66"/>
      <c r="V119" s="66"/>
      <c r="W119" s="66"/>
      <c r="X119" s="66"/>
      <c r="Y119" s="66"/>
      <c r="Z119" s="66"/>
    </row>
    <row r="120" spans="1:26" ht="99.9" hidden="1" customHeight="1" x14ac:dyDescent="0.3">
      <c r="A120" s="66" t="s">
        <v>1248</v>
      </c>
      <c r="B120" s="66" t="s">
        <v>117</v>
      </c>
      <c r="C120" s="66">
        <v>8.4</v>
      </c>
      <c r="D120" s="66" t="s">
        <v>1074</v>
      </c>
      <c r="E120" s="66" t="s">
        <v>363</v>
      </c>
      <c r="F120" s="66" t="s">
        <v>1141</v>
      </c>
      <c r="G120" s="66" t="s">
        <v>1090</v>
      </c>
      <c r="H120" s="66" t="s">
        <v>1183</v>
      </c>
      <c r="I120" s="66" t="s">
        <v>1249</v>
      </c>
      <c r="J120" s="66"/>
      <c r="K120" s="66">
        <v>8</v>
      </c>
      <c r="L120" s="66">
        <v>32</v>
      </c>
      <c r="M120" s="66" t="s">
        <v>1093</v>
      </c>
      <c r="N120" s="66">
        <v>100</v>
      </c>
      <c r="O120" s="66" t="s">
        <v>1250</v>
      </c>
      <c r="P120" s="66"/>
      <c r="Q120" s="66"/>
      <c r="R120" s="66" t="s">
        <v>1247</v>
      </c>
      <c r="S120" s="66"/>
      <c r="T120" s="66"/>
      <c r="U120" s="66"/>
      <c r="V120" s="66"/>
      <c r="W120" s="66"/>
      <c r="X120" s="66"/>
      <c r="Y120" s="66"/>
      <c r="Z120" s="66"/>
    </row>
    <row r="121" spans="1:26" ht="99.9" hidden="1" customHeight="1" x14ac:dyDescent="0.3">
      <c r="A121" s="66" t="s">
        <v>1251</v>
      </c>
      <c r="B121" s="66" t="s">
        <v>117</v>
      </c>
      <c r="C121" s="66">
        <v>8.4</v>
      </c>
      <c r="D121" s="66" t="s">
        <v>1074</v>
      </c>
      <c r="E121" s="66" t="s">
        <v>363</v>
      </c>
      <c r="F121" s="66" t="s">
        <v>1141</v>
      </c>
      <c r="G121" s="66" t="s">
        <v>1090</v>
      </c>
      <c r="H121" s="66" t="s">
        <v>1183</v>
      </c>
      <c r="I121" s="66" t="s">
        <v>1249</v>
      </c>
      <c r="J121" s="66"/>
      <c r="K121" s="66">
        <v>8</v>
      </c>
      <c r="L121" s="66">
        <v>32</v>
      </c>
      <c r="M121" s="66" t="s">
        <v>1093</v>
      </c>
      <c r="N121" s="66">
        <v>100</v>
      </c>
      <c r="O121" s="66" t="s">
        <v>1252</v>
      </c>
      <c r="P121" s="66"/>
      <c r="Q121" s="66"/>
      <c r="R121" s="66" t="s">
        <v>1247</v>
      </c>
      <c r="S121" s="66"/>
      <c r="T121" s="66"/>
      <c r="U121" s="66"/>
      <c r="V121" s="66"/>
      <c r="W121" s="66"/>
      <c r="X121" s="66"/>
      <c r="Y121" s="66"/>
      <c r="Z121" s="66"/>
    </row>
    <row r="122" spans="1:26" ht="99.9" hidden="1" customHeight="1" x14ac:dyDescent="0.3">
      <c r="A122" s="66" t="s">
        <v>1253</v>
      </c>
      <c r="B122" s="66" t="s">
        <v>117</v>
      </c>
      <c r="C122" s="66">
        <v>8.4</v>
      </c>
      <c r="D122" s="66" t="s">
        <v>1074</v>
      </c>
      <c r="E122" s="66" t="s">
        <v>363</v>
      </c>
      <c r="F122" s="66" t="s">
        <v>1141</v>
      </c>
      <c r="G122" s="66" t="s">
        <v>1090</v>
      </c>
      <c r="H122" s="66" t="s">
        <v>1183</v>
      </c>
      <c r="I122" s="66" t="s">
        <v>1254</v>
      </c>
      <c r="J122" s="66"/>
      <c r="K122" s="66">
        <v>8</v>
      </c>
      <c r="L122" s="66">
        <v>16</v>
      </c>
      <c r="M122" s="66" t="s">
        <v>1093</v>
      </c>
      <c r="N122" s="66">
        <v>100</v>
      </c>
      <c r="O122" s="66" t="s">
        <v>1255</v>
      </c>
      <c r="P122" s="66"/>
      <c r="Q122" s="66"/>
      <c r="R122" s="66" t="s">
        <v>1256</v>
      </c>
      <c r="S122" s="66"/>
      <c r="T122" s="66"/>
      <c r="U122" s="66"/>
      <c r="V122" s="66"/>
      <c r="W122" s="66"/>
      <c r="X122" s="66"/>
      <c r="Y122" s="66"/>
      <c r="Z122" s="66"/>
    </row>
    <row r="123" spans="1:26" ht="99.9" hidden="1" customHeight="1" x14ac:dyDescent="0.3">
      <c r="A123" s="66" t="s">
        <v>1257</v>
      </c>
      <c r="B123" s="66" t="s">
        <v>117</v>
      </c>
      <c r="C123" s="66">
        <v>8.4</v>
      </c>
      <c r="D123" s="66" t="s">
        <v>1074</v>
      </c>
      <c r="E123" s="66" t="s">
        <v>363</v>
      </c>
      <c r="F123" s="66" t="s">
        <v>1141</v>
      </c>
      <c r="G123" s="66" t="s">
        <v>1090</v>
      </c>
      <c r="H123" s="66" t="s">
        <v>1183</v>
      </c>
      <c r="I123" s="66" t="s">
        <v>1254</v>
      </c>
      <c r="J123" s="66"/>
      <c r="K123" s="66">
        <v>8</v>
      </c>
      <c r="L123" s="66">
        <v>16</v>
      </c>
      <c r="M123" s="66" t="s">
        <v>1093</v>
      </c>
      <c r="N123" s="66">
        <v>100</v>
      </c>
      <c r="O123" s="66" t="s">
        <v>1258</v>
      </c>
      <c r="P123" s="66"/>
      <c r="Q123" s="66"/>
      <c r="R123" s="66" t="s">
        <v>1256</v>
      </c>
      <c r="S123" s="66"/>
      <c r="T123" s="66"/>
      <c r="U123" s="66"/>
      <c r="V123" s="66"/>
      <c r="W123" s="66"/>
      <c r="X123" s="66"/>
      <c r="Y123" s="66"/>
      <c r="Z123" s="66"/>
    </row>
    <row r="124" spans="1:26" ht="99.9" hidden="1" customHeight="1" x14ac:dyDescent="0.3">
      <c r="A124" s="66" t="s">
        <v>1259</v>
      </c>
      <c r="B124" s="66" t="s">
        <v>117</v>
      </c>
      <c r="C124" s="66">
        <v>8.4</v>
      </c>
      <c r="D124" s="66" t="s">
        <v>1074</v>
      </c>
      <c r="E124" s="66" t="s">
        <v>363</v>
      </c>
      <c r="F124" s="66" t="s">
        <v>1117</v>
      </c>
      <c r="G124" s="66" t="s">
        <v>1090</v>
      </c>
      <c r="H124" s="66" t="s">
        <v>1118</v>
      </c>
      <c r="I124" s="66" t="s">
        <v>1260</v>
      </c>
      <c r="J124" s="66"/>
      <c r="K124" s="66">
        <v>8</v>
      </c>
      <c r="L124" s="66">
        <v>32</v>
      </c>
      <c r="M124" s="66" t="s">
        <v>1093</v>
      </c>
      <c r="N124" s="66">
        <v>100</v>
      </c>
      <c r="O124" s="66" t="s">
        <v>1261</v>
      </c>
      <c r="P124" s="66"/>
      <c r="Q124" s="66"/>
      <c r="R124" s="66" t="s">
        <v>1124</v>
      </c>
      <c r="S124" s="66"/>
      <c r="T124" s="66"/>
      <c r="U124" s="66"/>
      <c r="V124" s="66"/>
      <c r="W124" s="66"/>
      <c r="X124" s="66"/>
      <c r="Y124" s="66"/>
      <c r="Z124" s="66"/>
    </row>
    <row r="125" spans="1:26" ht="99.9" hidden="1" customHeight="1" x14ac:dyDescent="0.3">
      <c r="A125" s="66" t="s">
        <v>1262</v>
      </c>
      <c r="B125" s="66" t="s">
        <v>117</v>
      </c>
      <c r="C125" s="66">
        <v>8.4</v>
      </c>
      <c r="D125" s="66" t="s">
        <v>1074</v>
      </c>
      <c r="E125" s="66" t="s">
        <v>363</v>
      </c>
      <c r="F125" s="66" t="s">
        <v>1117</v>
      </c>
      <c r="G125" s="66" t="s">
        <v>1090</v>
      </c>
      <c r="H125" s="66" t="s">
        <v>1118</v>
      </c>
      <c r="I125" s="66" t="s">
        <v>1260</v>
      </c>
      <c r="J125" s="66"/>
      <c r="K125" s="66">
        <v>8</v>
      </c>
      <c r="L125" s="66">
        <v>32</v>
      </c>
      <c r="M125" s="66" t="s">
        <v>1093</v>
      </c>
      <c r="N125" s="66">
        <v>100</v>
      </c>
      <c r="O125" s="66" t="s">
        <v>1263</v>
      </c>
      <c r="P125" s="66"/>
      <c r="Q125" s="66"/>
      <c r="R125" s="66" t="s">
        <v>1124</v>
      </c>
      <c r="S125" s="66"/>
      <c r="T125" s="66"/>
      <c r="U125" s="66"/>
      <c r="V125" s="66"/>
      <c r="W125" s="66"/>
      <c r="X125" s="66"/>
      <c r="Y125" s="66"/>
      <c r="Z125" s="66"/>
    </row>
    <row r="126" spans="1:26" ht="99.9" hidden="1" customHeight="1" x14ac:dyDescent="0.3">
      <c r="A126" s="66" t="s">
        <v>1264</v>
      </c>
      <c r="B126" s="66" t="s">
        <v>117</v>
      </c>
      <c r="C126" s="66">
        <v>8.4</v>
      </c>
      <c r="D126" s="66" t="s">
        <v>1074</v>
      </c>
      <c r="E126" s="66" t="s">
        <v>363</v>
      </c>
      <c r="F126" s="66" t="s">
        <v>1117</v>
      </c>
      <c r="G126" s="66" t="s">
        <v>1090</v>
      </c>
      <c r="H126" s="66" t="s">
        <v>1118</v>
      </c>
      <c r="I126" s="66" t="s">
        <v>1260</v>
      </c>
      <c r="J126" s="66"/>
      <c r="K126" s="66">
        <v>8</v>
      </c>
      <c r="L126" s="66">
        <v>32</v>
      </c>
      <c r="M126" s="66" t="s">
        <v>1093</v>
      </c>
      <c r="N126" s="66">
        <v>100</v>
      </c>
      <c r="O126" s="66" t="s">
        <v>1265</v>
      </c>
      <c r="P126" s="66"/>
      <c r="Q126" s="66"/>
      <c r="R126" s="66" t="s">
        <v>1124</v>
      </c>
      <c r="S126" s="66"/>
      <c r="T126" s="66"/>
      <c r="U126" s="66"/>
      <c r="V126" s="66"/>
      <c r="W126" s="66"/>
      <c r="X126" s="66"/>
      <c r="Y126" s="66"/>
      <c r="Z126" s="66"/>
    </row>
    <row r="127" spans="1:26" ht="99.9" hidden="1" customHeight="1" x14ac:dyDescent="0.3">
      <c r="A127" s="66" t="s">
        <v>1266</v>
      </c>
      <c r="B127" s="66" t="s">
        <v>117</v>
      </c>
      <c r="C127" s="66">
        <v>8.4</v>
      </c>
      <c r="D127" s="66" t="s">
        <v>1074</v>
      </c>
      <c r="E127" s="66" t="s">
        <v>353</v>
      </c>
      <c r="F127" s="66" t="s">
        <v>1267</v>
      </c>
      <c r="G127" s="66"/>
      <c r="H127" s="66" t="s">
        <v>1268</v>
      </c>
      <c r="I127" s="66" t="s">
        <v>1269</v>
      </c>
      <c r="J127" s="66" t="s">
        <v>1270</v>
      </c>
      <c r="K127" s="66">
        <v>16</v>
      </c>
      <c r="L127" s="66">
        <v>64</v>
      </c>
      <c r="M127" s="66" t="s">
        <v>1271</v>
      </c>
      <c r="N127" s="66">
        <v>100</v>
      </c>
      <c r="O127" s="66" t="s">
        <v>1272</v>
      </c>
      <c r="P127" s="66"/>
      <c r="Q127" s="66"/>
      <c r="R127" s="66"/>
      <c r="S127" s="66"/>
      <c r="T127" s="66"/>
      <c r="U127" s="66" t="s">
        <v>1273</v>
      </c>
      <c r="V127" s="66"/>
      <c r="W127" s="66"/>
      <c r="X127" s="66"/>
      <c r="Y127" s="66"/>
      <c r="Z127" s="66"/>
    </row>
    <row r="128" spans="1:26" ht="99.9" hidden="1" customHeight="1" x14ac:dyDescent="0.3">
      <c r="A128" s="66" t="s">
        <v>1274</v>
      </c>
      <c r="B128" s="66" t="s">
        <v>117</v>
      </c>
      <c r="C128" s="66">
        <v>8.4</v>
      </c>
      <c r="D128" s="66" t="s">
        <v>1074</v>
      </c>
      <c r="E128" s="66" t="s">
        <v>353</v>
      </c>
      <c r="F128" s="66" t="s">
        <v>1267</v>
      </c>
      <c r="G128" s="66"/>
      <c r="H128" s="66" t="s">
        <v>1268</v>
      </c>
      <c r="I128" s="66" t="s">
        <v>1275</v>
      </c>
      <c r="J128" s="66" t="s">
        <v>1270</v>
      </c>
      <c r="K128" s="66">
        <v>32</v>
      </c>
      <c r="L128" s="66">
        <v>100</v>
      </c>
      <c r="M128" s="66" t="s">
        <v>1271</v>
      </c>
      <c r="N128" s="66">
        <v>100</v>
      </c>
      <c r="O128" s="66" t="s">
        <v>1276</v>
      </c>
      <c r="P128" s="66"/>
      <c r="Q128" s="66"/>
      <c r="R128" s="66"/>
      <c r="S128" s="66"/>
      <c r="T128" s="66"/>
      <c r="U128" s="66" t="s">
        <v>1273</v>
      </c>
      <c r="V128" s="66"/>
      <c r="W128" s="66"/>
      <c r="X128" s="66"/>
      <c r="Y128" s="66"/>
      <c r="Z128" s="66"/>
    </row>
    <row r="129" spans="1:26" ht="99.9" hidden="1" customHeight="1" x14ac:dyDescent="0.3">
      <c r="A129" s="66" t="s">
        <v>1277</v>
      </c>
      <c r="B129" s="66" t="s">
        <v>117</v>
      </c>
      <c r="C129" s="66">
        <v>8.4</v>
      </c>
      <c r="D129" s="66" t="s">
        <v>1074</v>
      </c>
      <c r="E129" s="66" t="s">
        <v>353</v>
      </c>
      <c r="F129" s="66" t="s">
        <v>1267</v>
      </c>
      <c r="G129" s="66"/>
      <c r="H129" s="66" t="s">
        <v>1268</v>
      </c>
      <c r="I129" s="66" t="s">
        <v>1278</v>
      </c>
      <c r="J129" s="66" t="s">
        <v>1270</v>
      </c>
      <c r="K129" s="66">
        <v>32</v>
      </c>
      <c r="L129" s="66">
        <v>100</v>
      </c>
      <c r="M129" s="66" t="s">
        <v>1271</v>
      </c>
      <c r="N129" s="66">
        <v>100</v>
      </c>
      <c r="O129" s="66" t="s">
        <v>1279</v>
      </c>
      <c r="P129" s="66"/>
      <c r="Q129" s="66"/>
      <c r="R129" s="66"/>
      <c r="S129" s="66"/>
      <c r="T129" s="66"/>
      <c r="U129" s="66" t="s">
        <v>1273</v>
      </c>
      <c r="V129" s="66"/>
      <c r="W129" s="66"/>
      <c r="X129" s="66"/>
      <c r="Y129" s="66"/>
      <c r="Z129" s="66"/>
    </row>
    <row r="130" spans="1:26" ht="99.9" hidden="1" customHeight="1" x14ac:dyDescent="0.3">
      <c r="A130" s="66" t="s">
        <v>1280</v>
      </c>
      <c r="B130" s="66" t="s">
        <v>117</v>
      </c>
      <c r="C130" s="66">
        <v>8.4</v>
      </c>
      <c r="D130" s="66" t="s">
        <v>1074</v>
      </c>
      <c r="E130" s="66" t="s">
        <v>353</v>
      </c>
      <c r="F130" s="66" t="s">
        <v>1267</v>
      </c>
      <c r="G130" s="66"/>
      <c r="H130" s="66" t="s">
        <v>1268</v>
      </c>
      <c r="I130" s="66" t="s">
        <v>1281</v>
      </c>
      <c r="J130" s="66" t="s">
        <v>1270</v>
      </c>
      <c r="K130" s="66">
        <v>32</v>
      </c>
      <c r="L130" s="66">
        <v>100</v>
      </c>
      <c r="M130" s="66" t="s">
        <v>1271</v>
      </c>
      <c r="N130" s="66">
        <v>100</v>
      </c>
      <c r="O130" s="66" t="s">
        <v>1282</v>
      </c>
      <c r="P130" s="66"/>
      <c r="Q130" s="66"/>
      <c r="R130" s="66"/>
      <c r="S130" s="66"/>
      <c r="T130" s="66"/>
      <c r="U130" s="66" t="s">
        <v>1273</v>
      </c>
      <c r="V130" s="66"/>
      <c r="W130" s="66"/>
      <c r="X130" s="66"/>
      <c r="Y130" s="66"/>
      <c r="Z130" s="66"/>
    </row>
    <row r="131" spans="1:26" ht="99.9" hidden="1" customHeight="1" x14ac:dyDescent="0.3">
      <c r="A131" s="66" t="s">
        <v>1283</v>
      </c>
      <c r="B131" s="66" t="s">
        <v>117</v>
      </c>
      <c r="C131" s="66">
        <v>8.4</v>
      </c>
      <c r="D131" s="66" t="s">
        <v>1074</v>
      </c>
      <c r="E131" s="66" t="s">
        <v>353</v>
      </c>
      <c r="F131" s="66" t="s">
        <v>1267</v>
      </c>
      <c r="G131" s="66"/>
      <c r="H131" s="66" t="s">
        <v>1268</v>
      </c>
      <c r="I131" s="66" t="s">
        <v>1284</v>
      </c>
      <c r="J131" s="66" t="s">
        <v>1270</v>
      </c>
      <c r="K131" s="66">
        <v>32</v>
      </c>
      <c r="L131" s="66">
        <v>100</v>
      </c>
      <c r="M131" s="66" t="s">
        <v>1271</v>
      </c>
      <c r="N131" s="66">
        <v>100</v>
      </c>
      <c r="O131" s="66" t="s">
        <v>1285</v>
      </c>
      <c r="P131" s="66"/>
      <c r="Q131" s="66"/>
      <c r="R131" s="66"/>
      <c r="S131" s="66"/>
      <c r="T131" s="66"/>
      <c r="U131" s="66" t="s">
        <v>1273</v>
      </c>
      <c r="V131" s="66"/>
      <c r="W131" s="66"/>
      <c r="X131" s="66"/>
      <c r="Y131" s="66"/>
      <c r="Z131" s="66"/>
    </row>
    <row r="132" spans="1:26" ht="99.9" hidden="1" customHeight="1" x14ac:dyDescent="0.3">
      <c r="A132" s="66" t="s">
        <v>1286</v>
      </c>
      <c r="B132" s="66" t="s">
        <v>117</v>
      </c>
      <c r="C132" s="66">
        <v>8.4</v>
      </c>
      <c r="D132" s="66" t="s">
        <v>1074</v>
      </c>
      <c r="E132" s="66" t="s">
        <v>353</v>
      </c>
      <c r="F132" s="66" t="s">
        <v>1287</v>
      </c>
      <c r="G132" s="66"/>
      <c r="H132" s="66" t="s">
        <v>1268</v>
      </c>
      <c r="I132" s="66" t="s">
        <v>1288</v>
      </c>
      <c r="J132" s="66" t="s">
        <v>1289</v>
      </c>
      <c r="K132" s="66">
        <v>16</v>
      </c>
      <c r="L132" s="66">
        <v>24</v>
      </c>
      <c r="M132" s="66" t="s">
        <v>1093</v>
      </c>
      <c r="N132" s="66">
        <v>400</v>
      </c>
      <c r="O132" s="66" t="s">
        <v>1290</v>
      </c>
      <c r="P132" s="66"/>
      <c r="Q132" s="66"/>
      <c r="R132" s="66"/>
      <c r="S132" s="66"/>
      <c r="T132" s="66"/>
      <c r="U132" s="66" t="s">
        <v>1287</v>
      </c>
      <c r="V132" s="66"/>
      <c r="W132" s="66"/>
      <c r="X132" s="66"/>
      <c r="Y132" s="66"/>
      <c r="Z132" s="66"/>
    </row>
    <row r="133" spans="1:26" ht="99.9" hidden="1" customHeight="1" x14ac:dyDescent="0.3">
      <c r="A133" s="66" t="s">
        <v>1291</v>
      </c>
      <c r="B133" s="66" t="s">
        <v>117</v>
      </c>
      <c r="C133" s="66">
        <v>8.4</v>
      </c>
      <c r="D133" s="66" t="s">
        <v>1074</v>
      </c>
      <c r="E133" s="66" t="s">
        <v>353</v>
      </c>
      <c r="F133" s="66" t="s">
        <v>1287</v>
      </c>
      <c r="G133" s="66"/>
      <c r="H133" s="66" t="s">
        <v>1268</v>
      </c>
      <c r="I133" s="66" t="s">
        <v>1292</v>
      </c>
      <c r="J133" s="66" t="s">
        <v>1289</v>
      </c>
      <c r="K133" s="66">
        <v>16</v>
      </c>
      <c r="L133" s="66">
        <v>24</v>
      </c>
      <c r="M133" s="66" t="s">
        <v>1093</v>
      </c>
      <c r="N133" s="66">
        <v>400</v>
      </c>
      <c r="O133" s="66" t="s">
        <v>1293</v>
      </c>
      <c r="P133" s="66"/>
      <c r="Q133" s="66"/>
      <c r="R133" s="66"/>
      <c r="S133" s="66"/>
      <c r="T133" s="66"/>
      <c r="U133" s="66" t="s">
        <v>1287</v>
      </c>
      <c r="V133" s="66"/>
      <c r="W133" s="66"/>
      <c r="X133" s="66"/>
      <c r="Y133" s="66"/>
      <c r="Z133" s="66"/>
    </row>
    <row r="134" spans="1:26" ht="99.9" hidden="1" customHeight="1" x14ac:dyDescent="0.3">
      <c r="A134" s="66" t="s">
        <v>1294</v>
      </c>
      <c r="B134" s="66" t="s">
        <v>117</v>
      </c>
      <c r="C134" s="66">
        <v>8.4</v>
      </c>
      <c r="D134" s="66" t="s">
        <v>1074</v>
      </c>
      <c r="E134" s="66" t="s">
        <v>353</v>
      </c>
      <c r="F134" s="66" t="s">
        <v>1287</v>
      </c>
      <c r="G134" s="66"/>
      <c r="H134" s="66" t="s">
        <v>1268</v>
      </c>
      <c r="I134" s="66" t="s">
        <v>1295</v>
      </c>
      <c r="J134" s="66" t="s">
        <v>1289</v>
      </c>
      <c r="K134" s="66">
        <v>8</v>
      </c>
      <c r="L134" s="66">
        <v>16</v>
      </c>
      <c r="M134" s="66" t="s">
        <v>1093</v>
      </c>
      <c r="N134" s="66">
        <v>6144</v>
      </c>
      <c r="O134" s="66" t="s">
        <v>1296</v>
      </c>
      <c r="P134" s="66"/>
      <c r="Q134" s="66"/>
      <c r="R134" s="66"/>
      <c r="S134" s="66"/>
      <c r="T134" s="66"/>
      <c r="U134" s="66" t="s">
        <v>1287</v>
      </c>
      <c r="V134" s="66"/>
      <c r="W134" s="66"/>
      <c r="X134" s="66"/>
      <c r="Y134" s="66"/>
      <c r="Z134" s="66"/>
    </row>
    <row r="135" spans="1:26" ht="99.9" hidden="1" customHeight="1" x14ac:dyDescent="0.3">
      <c r="A135" s="66" t="s">
        <v>1297</v>
      </c>
      <c r="B135" s="66" t="s">
        <v>117</v>
      </c>
      <c r="C135" s="66">
        <v>8.4</v>
      </c>
      <c r="D135" s="66" t="s">
        <v>1074</v>
      </c>
      <c r="E135" s="66" t="s">
        <v>353</v>
      </c>
      <c r="F135" s="66" t="s">
        <v>1267</v>
      </c>
      <c r="G135" s="66"/>
      <c r="H135" s="66" t="s">
        <v>1268</v>
      </c>
      <c r="I135" s="66" t="s">
        <v>1298</v>
      </c>
      <c r="J135" s="66"/>
      <c r="K135" s="66">
        <v>32</v>
      </c>
      <c r="L135" s="66">
        <v>768</v>
      </c>
      <c r="M135" s="66"/>
      <c r="N135" s="66"/>
      <c r="O135" s="66" t="s">
        <v>1299</v>
      </c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 t="s">
        <v>1300</v>
      </c>
    </row>
    <row r="136" spans="1:26" ht="99.9" hidden="1" customHeight="1" x14ac:dyDescent="0.3">
      <c r="A136" s="66" t="s">
        <v>1301</v>
      </c>
      <c r="B136" s="66" t="s">
        <v>117</v>
      </c>
      <c r="C136" s="66">
        <v>8.4</v>
      </c>
      <c r="D136" s="66" t="s">
        <v>1074</v>
      </c>
      <c r="E136" s="66" t="s">
        <v>353</v>
      </c>
      <c r="F136" s="66" t="s">
        <v>1267</v>
      </c>
      <c r="G136" s="66"/>
      <c r="H136" s="66" t="s">
        <v>1268</v>
      </c>
      <c r="I136" s="66" t="s">
        <v>1302</v>
      </c>
      <c r="J136" s="66"/>
      <c r="K136" s="66">
        <v>32</v>
      </c>
      <c r="L136" s="66">
        <v>768</v>
      </c>
      <c r="M136" s="66"/>
      <c r="N136" s="66"/>
      <c r="O136" s="66" t="s">
        <v>1303</v>
      </c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 t="s">
        <v>1300</v>
      </c>
    </row>
    <row r="137" spans="1:26" ht="99.9" hidden="1" customHeight="1" x14ac:dyDescent="0.3">
      <c r="A137" s="66" t="s">
        <v>1304</v>
      </c>
      <c r="B137" s="66" t="s">
        <v>117</v>
      </c>
      <c r="C137" s="66">
        <v>8.4</v>
      </c>
      <c r="D137" s="66" t="s">
        <v>1074</v>
      </c>
      <c r="E137" s="66" t="s">
        <v>353</v>
      </c>
      <c r="F137" s="66" t="s">
        <v>1267</v>
      </c>
      <c r="G137" s="66"/>
      <c r="H137" s="66" t="s">
        <v>1268</v>
      </c>
      <c r="I137" s="66" t="s">
        <v>1305</v>
      </c>
      <c r="J137" s="66"/>
      <c r="K137" s="66">
        <v>32</v>
      </c>
      <c r="L137" s="66">
        <v>768</v>
      </c>
      <c r="M137" s="66"/>
      <c r="N137" s="66"/>
      <c r="O137" s="66" t="s">
        <v>1306</v>
      </c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 t="s">
        <v>1300</v>
      </c>
    </row>
    <row r="138" spans="1:26" ht="99.9" hidden="1" customHeight="1" x14ac:dyDescent="0.3">
      <c r="A138" s="66" t="s">
        <v>1307</v>
      </c>
      <c r="B138" s="66" t="s">
        <v>117</v>
      </c>
      <c r="C138" s="66">
        <v>8.4</v>
      </c>
      <c r="D138" s="66" t="s">
        <v>1074</v>
      </c>
      <c r="E138" s="66" t="s">
        <v>353</v>
      </c>
      <c r="F138" s="66" t="s">
        <v>1267</v>
      </c>
      <c r="G138" s="66"/>
      <c r="H138" s="66" t="s">
        <v>1268</v>
      </c>
      <c r="I138" s="66" t="s">
        <v>1308</v>
      </c>
      <c r="J138" s="66"/>
      <c r="K138" s="66">
        <v>32</v>
      </c>
      <c r="L138" s="66">
        <v>768</v>
      </c>
      <c r="M138" s="66"/>
      <c r="N138" s="66"/>
      <c r="O138" s="66" t="s">
        <v>1309</v>
      </c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 t="s">
        <v>1300</v>
      </c>
    </row>
    <row r="139" spans="1:26" ht="99.9" hidden="1" customHeight="1" x14ac:dyDescent="0.3">
      <c r="A139" s="66" t="s">
        <v>1310</v>
      </c>
      <c r="B139" s="66" t="s">
        <v>117</v>
      </c>
      <c r="C139" s="66">
        <v>8.4</v>
      </c>
      <c r="D139" s="66" t="s">
        <v>1074</v>
      </c>
      <c r="E139" s="66" t="s">
        <v>353</v>
      </c>
      <c r="F139" s="66" t="s">
        <v>1267</v>
      </c>
      <c r="G139" s="66"/>
      <c r="H139" s="66" t="s">
        <v>1268</v>
      </c>
      <c r="I139" s="66" t="s">
        <v>1311</v>
      </c>
      <c r="J139" s="66"/>
      <c r="K139" s="66">
        <v>32</v>
      </c>
      <c r="L139" s="66">
        <v>768</v>
      </c>
      <c r="M139" s="66"/>
      <c r="N139" s="66"/>
      <c r="O139" s="66" t="s">
        <v>1312</v>
      </c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 t="s">
        <v>1300</v>
      </c>
    </row>
    <row r="140" spans="1:26" ht="99.9" hidden="1" customHeight="1" x14ac:dyDescent="0.3">
      <c r="A140" s="66" t="s">
        <v>1313</v>
      </c>
      <c r="B140" s="66" t="s">
        <v>117</v>
      </c>
      <c r="C140" s="66">
        <v>8.4</v>
      </c>
      <c r="D140" s="66" t="s">
        <v>1074</v>
      </c>
      <c r="E140" s="66" t="s">
        <v>353</v>
      </c>
      <c r="F140" s="66" t="s">
        <v>1267</v>
      </c>
      <c r="G140" s="66"/>
      <c r="H140" s="66" t="s">
        <v>1268</v>
      </c>
      <c r="I140" s="66" t="s">
        <v>1314</v>
      </c>
      <c r="J140" s="66"/>
      <c r="K140" s="66">
        <v>32</v>
      </c>
      <c r="L140" s="66">
        <v>768</v>
      </c>
      <c r="M140" s="66"/>
      <c r="N140" s="66"/>
      <c r="O140" s="66" t="s">
        <v>1315</v>
      </c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 t="s">
        <v>1300</v>
      </c>
    </row>
    <row r="141" spans="1:26" ht="99.9" hidden="1" customHeight="1" x14ac:dyDescent="0.3">
      <c r="A141" s="66" t="s">
        <v>1316</v>
      </c>
      <c r="B141" s="66" t="s">
        <v>117</v>
      </c>
      <c r="C141" s="66">
        <v>8.4</v>
      </c>
      <c r="D141" s="66" t="s">
        <v>1074</v>
      </c>
      <c r="E141" s="66" t="s">
        <v>353</v>
      </c>
      <c r="F141" s="66" t="s">
        <v>1267</v>
      </c>
      <c r="G141" s="66"/>
      <c r="H141" s="66" t="s">
        <v>1268</v>
      </c>
      <c r="I141" s="66" t="s">
        <v>1317</v>
      </c>
      <c r="J141" s="66"/>
      <c r="K141" s="66">
        <v>32</v>
      </c>
      <c r="L141" s="66">
        <v>768</v>
      </c>
      <c r="M141" s="66"/>
      <c r="N141" s="66"/>
      <c r="O141" s="66" t="s">
        <v>1318</v>
      </c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 t="s">
        <v>1300</v>
      </c>
    </row>
    <row r="142" spans="1:26" ht="99.9" hidden="1" customHeight="1" x14ac:dyDescent="0.3">
      <c r="A142" s="66" t="s">
        <v>1319</v>
      </c>
      <c r="B142" s="66" t="s">
        <v>117</v>
      </c>
      <c r="C142" s="66">
        <v>8.4</v>
      </c>
      <c r="D142" s="66" t="s">
        <v>1074</v>
      </c>
      <c r="E142" s="66" t="s">
        <v>353</v>
      </c>
      <c r="F142" s="66" t="s">
        <v>1267</v>
      </c>
      <c r="G142" s="66"/>
      <c r="H142" s="66" t="s">
        <v>1268</v>
      </c>
      <c r="I142" s="66" t="s">
        <v>1320</v>
      </c>
      <c r="J142" s="66"/>
      <c r="K142" s="66">
        <v>32</v>
      </c>
      <c r="L142" s="66">
        <v>768</v>
      </c>
      <c r="M142" s="66"/>
      <c r="N142" s="66"/>
      <c r="O142" s="66" t="s">
        <v>1321</v>
      </c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 t="s">
        <v>1300</v>
      </c>
    </row>
    <row r="143" spans="1:26" ht="99.9" hidden="1" customHeight="1" x14ac:dyDescent="0.3">
      <c r="A143" s="66" t="s">
        <v>1322</v>
      </c>
      <c r="B143" s="66" t="s">
        <v>117</v>
      </c>
      <c r="C143" s="66">
        <v>8.4</v>
      </c>
      <c r="D143" s="66" t="s">
        <v>1074</v>
      </c>
      <c r="E143" s="66" t="s">
        <v>353</v>
      </c>
      <c r="F143" s="66" t="s">
        <v>1267</v>
      </c>
      <c r="G143" s="66"/>
      <c r="H143" s="66" t="s">
        <v>1268</v>
      </c>
      <c r="I143" s="66" t="s">
        <v>1323</v>
      </c>
      <c r="J143" s="66"/>
      <c r="K143" s="66">
        <v>32</v>
      </c>
      <c r="L143" s="66">
        <v>768</v>
      </c>
      <c r="M143" s="66"/>
      <c r="N143" s="66"/>
      <c r="O143" s="66" t="s">
        <v>1324</v>
      </c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 t="s">
        <v>1300</v>
      </c>
    </row>
    <row r="144" spans="1:26" ht="99.9" hidden="1" customHeight="1" x14ac:dyDescent="0.3">
      <c r="A144" s="66" t="s">
        <v>1325</v>
      </c>
      <c r="B144" s="66" t="s">
        <v>117</v>
      </c>
      <c r="C144" s="66">
        <v>8.4</v>
      </c>
      <c r="D144" s="66" t="s">
        <v>1074</v>
      </c>
      <c r="E144" s="66" t="s">
        <v>353</v>
      </c>
      <c r="F144" s="66" t="s">
        <v>1267</v>
      </c>
      <c r="G144" s="66"/>
      <c r="H144" s="66" t="s">
        <v>1268</v>
      </c>
      <c r="I144" s="66" t="s">
        <v>1326</v>
      </c>
      <c r="J144" s="66"/>
      <c r="K144" s="66">
        <v>32</v>
      </c>
      <c r="L144" s="66">
        <v>768</v>
      </c>
      <c r="M144" s="66"/>
      <c r="N144" s="66"/>
      <c r="O144" s="66" t="s">
        <v>1327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 t="s">
        <v>1300</v>
      </c>
    </row>
    <row r="145" spans="1:26" ht="99.9" hidden="1" customHeight="1" x14ac:dyDescent="0.3">
      <c r="A145" s="66" t="s">
        <v>1328</v>
      </c>
      <c r="B145" s="66" t="s">
        <v>117</v>
      </c>
      <c r="C145" s="66">
        <v>8.4</v>
      </c>
      <c r="D145" s="66" t="s">
        <v>1074</v>
      </c>
      <c r="E145" s="66" t="s">
        <v>353</v>
      </c>
      <c r="F145" s="66" t="s">
        <v>1267</v>
      </c>
      <c r="G145" s="66"/>
      <c r="H145" s="66" t="s">
        <v>1268</v>
      </c>
      <c r="I145" s="66" t="s">
        <v>1329</v>
      </c>
      <c r="J145" s="66"/>
      <c r="K145" s="66">
        <v>32</v>
      </c>
      <c r="L145" s="66">
        <v>768</v>
      </c>
      <c r="M145" s="66"/>
      <c r="N145" s="66"/>
      <c r="O145" s="66" t="s">
        <v>1330</v>
      </c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 t="s">
        <v>1300</v>
      </c>
    </row>
    <row r="146" spans="1:26" ht="99.9" hidden="1" customHeight="1" x14ac:dyDescent="0.3">
      <c r="A146" s="66" t="s">
        <v>1331</v>
      </c>
      <c r="B146" s="66" t="s">
        <v>125</v>
      </c>
      <c r="C146" s="66" t="s">
        <v>1332</v>
      </c>
      <c r="D146" s="66" t="s">
        <v>1074</v>
      </c>
      <c r="E146" s="66" t="s">
        <v>1333</v>
      </c>
      <c r="F146" s="66"/>
      <c r="G146" s="66"/>
      <c r="H146" s="66" t="s">
        <v>1334</v>
      </c>
      <c r="I146" s="66" t="s">
        <v>1335</v>
      </c>
      <c r="J146" s="66" t="s">
        <v>1336</v>
      </c>
      <c r="K146" s="66">
        <v>16</v>
      </c>
      <c r="L146" s="66">
        <v>32</v>
      </c>
      <c r="M146" s="66" t="s">
        <v>1093</v>
      </c>
      <c r="N146" s="66">
        <v>100</v>
      </c>
      <c r="O146" s="66" t="s">
        <v>1337</v>
      </c>
      <c r="P146" s="66" t="s">
        <v>1338</v>
      </c>
      <c r="Q146" s="66"/>
      <c r="R146" s="66"/>
      <c r="S146" s="66"/>
      <c r="T146" s="66"/>
      <c r="U146" s="66" t="s">
        <v>1339</v>
      </c>
      <c r="V146" s="66"/>
      <c r="W146" s="66"/>
      <c r="X146" s="66"/>
      <c r="Y146" s="66"/>
      <c r="Z146" s="66"/>
    </row>
    <row r="147" spans="1:26" ht="99.9" hidden="1" customHeight="1" x14ac:dyDescent="0.3">
      <c r="A147" s="66" t="s">
        <v>1340</v>
      </c>
      <c r="B147" s="66" t="s">
        <v>117</v>
      </c>
      <c r="C147" s="66">
        <v>8.4</v>
      </c>
      <c r="D147" s="66" t="s">
        <v>1074</v>
      </c>
      <c r="E147" s="66" t="s">
        <v>1333</v>
      </c>
      <c r="F147" s="66"/>
      <c r="G147" s="66" t="s">
        <v>1090</v>
      </c>
      <c r="H147" s="66" t="s">
        <v>1334</v>
      </c>
      <c r="I147" s="66" t="s">
        <v>1341</v>
      </c>
      <c r="J147" s="66" t="s">
        <v>1342</v>
      </c>
      <c r="K147" s="66">
        <v>2</v>
      </c>
      <c r="L147" s="66">
        <v>4</v>
      </c>
      <c r="M147" s="66" t="s">
        <v>1093</v>
      </c>
      <c r="N147" s="66">
        <v>100</v>
      </c>
      <c r="O147" s="66" t="s">
        <v>1343</v>
      </c>
      <c r="P147" s="66" t="s">
        <v>1344</v>
      </c>
      <c r="Q147" s="66"/>
      <c r="R147" s="66"/>
      <c r="S147" s="66"/>
      <c r="T147" s="66"/>
      <c r="U147" s="66" t="s">
        <v>1345</v>
      </c>
      <c r="V147" s="66"/>
      <c r="W147" s="66"/>
      <c r="X147" s="66"/>
      <c r="Y147" s="66"/>
      <c r="Z147" s="66"/>
    </row>
    <row r="148" spans="1:26" ht="99.9" hidden="1" customHeight="1" x14ac:dyDescent="0.3">
      <c r="A148" s="66" t="s">
        <v>1346</v>
      </c>
      <c r="B148" s="66" t="s">
        <v>117</v>
      </c>
      <c r="C148" s="66">
        <v>8.4</v>
      </c>
      <c r="D148" s="66" t="s">
        <v>1074</v>
      </c>
      <c r="E148" s="66" t="s">
        <v>1333</v>
      </c>
      <c r="F148" s="66"/>
      <c r="G148" s="66" t="s">
        <v>1090</v>
      </c>
      <c r="H148" s="66" t="s">
        <v>424</v>
      </c>
      <c r="I148" s="66" t="s">
        <v>1347</v>
      </c>
      <c r="J148" s="66" t="s">
        <v>1348</v>
      </c>
      <c r="K148" s="66">
        <v>4</v>
      </c>
      <c r="L148" s="66">
        <v>12</v>
      </c>
      <c r="M148" s="66" t="s">
        <v>1093</v>
      </c>
      <c r="N148" s="66">
        <v>1000</v>
      </c>
      <c r="O148" s="66" t="s">
        <v>1349</v>
      </c>
      <c r="P148" s="66" t="s">
        <v>1350</v>
      </c>
      <c r="Q148" s="66"/>
      <c r="R148" s="66"/>
      <c r="S148" s="66"/>
      <c r="T148" s="66"/>
      <c r="U148" s="66" t="s">
        <v>1351</v>
      </c>
      <c r="V148" s="66"/>
      <c r="W148" s="66"/>
      <c r="X148" s="66"/>
      <c r="Y148" s="66"/>
      <c r="Z148" s="66"/>
    </row>
    <row r="149" spans="1:26" ht="99.9" hidden="1" customHeight="1" x14ac:dyDescent="0.3">
      <c r="A149" s="66" t="s">
        <v>1352</v>
      </c>
      <c r="B149" s="66" t="s">
        <v>117</v>
      </c>
      <c r="C149" s="66">
        <v>8.4</v>
      </c>
      <c r="D149" s="66" t="s">
        <v>1074</v>
      </c>
      <c r="E149" s="66" t="s">
        <v>1333</v>
      </c>
      <c r="F149" s="66"/>
      <c r="G149" s="66" t="s">
        <v>1090</v>
      </c>
      <c r="H149" s="66" t="s">
        <v>424</v>
      </c>
      <c r="I149" s="66" t="s">
        <v>1353</v>
      </c>
      <c r="J149" s="66" t="s">
        <v>1354</v>
      </c>
      <c r="K149" s="66">
        <v>6</v>
      </c>
      <c r="L149" s="66">
        <v>18</v>
      </c>
      <c r="M149" s="66" t="s">
        <v>1093</v>
      </c>
      <c r="N149" s="66">
        <v>300</v>
      </c>
      <c r="O149" s="66" t="s">
        <v>1355</v>
      </c>
      <c r="P149" s="66" t="s">
        <v>1356</v>
      </c>
      <c r="Q149" s="66"/>
      <c r="R149" s="66"/>
      <c r="S149" s="66"/>
      <c r="T149" s="66"/>
      <c r="U149" s="66" t="s">
        <v>1351</v>
      </c>
      <c r="V149" s="66"/>
      <c r="W149" s="66"/>
      <c r="X149" s="66"/>
      <c r="Y149" s="66"/>
      <c r="Z149" s="66"/>
    </row>
    <row r="150" spans="1:26" ht="99.9" hidden="1" customHeight="1" x14ac:dyDescent="0.3">
      <c r="A150" s="66" t="s">
        <v>1357</v>
      </c>
      <c r="B150" s="66" t="s">
        <v>117</v>
      </c>
      <c r="C150" s="66">
        <v>8.4</v>
      </c>
      <c r="D150" s="66" t="s">
        <v>1074</v>
      </c>
      <c r="E150" s="66" t="s">
        <v>1333</v>
      </c>
      <c r="F150" s="66"/>
      <c r="G150" s="66" t="s">
        <v>1090</v>
      </c>
      <c r="H150" s="66" t="s">
        <v>424</v>
      </c>
      <c r="I150" s="66" t="s">
        <v>1358</v>
      </c>
      <c r="J150" s="66" t="s">
        <v>1359</v>
      </c>
      <c r="K150" s="66">
        <v>18</v>
      </c>
      <c r="L150" s="66">
        <v>36</v>
      </c>
      <c r="M150" s="66" t="s">
        <v>1093</v>
      </c>
      <c r="N150" s="66">
        <v>300</v>
      </c>
      <c r="O150" s="66" t="s">
        <v>1360</v>
      </c>
      <c r="P150" s="66" t="s">
        <v>1361</v>
      </c>
      <c r="Q150" s="66"/>
      <c r="R150" s="66"/>
      <c r="S150" s="66"/>
      <c r="T150" s="66"/>
      <c r="U150" s="66" t="s">
        <v>1351</v>
      </c>
      <c r="V150" s="66"/>
      <c r="W150" s="66"/>
      <c r="X150" s="66"/>
      <c r="Y150" s="66"/>
      <c r="Z150" s="66"/>
    </row>
    <row r="151" spans="1:26" ht="99.9" hidden="1" customHeight="1" x14ac:dyDescent="0.3">
      <c r="A151" s="66" t="s">
        <v>1362</v>
      </c>
      <c r="B151" s="66" t="s">
        <v>117</v>
      </c>
      <c r="C151" s="66">
        <v>8.4</v>
      </c>
      <c r="D151" s="66" t="s">
        <v>1074</v>
      </c>
      <c r="E151" s="66" t="s">
        <v>1333</v>
      </c>
      <c r="F151" s="66"/>
      <c r="G151" s="66" t="s">
        <v>1090</v>
      </c>
      <c r="H151" s="66" t="s">
        <v>424</v>
      </c>
      <c r="I151" s="66" t="s">
        <v>1363</v>
      </c>
      <c r="J151" s="66" t="s">
        <v>1364</v>
      </c>
      <c r="K151" s="66">
        <v>8</v>
      </c>
      <c r="L151" s="66">
        <v>64</v>
      </c>
      <c r="M151" s="66" t="s">
        <v>1093</v>
      </c>
      <c r="N151" s="66">
        <v>300</v>
      </c>
      <c r="O151" s="66" t="s">
        <v>1365</v>
      </c>
      <c r="P151" s="66" t="s">
        <v>1366</v>
      </c>
      <c r="Q151" s="66"/>
      <c r="R151" s="66"/>
      <c r="S151" s="66"/>
      <c r="T151" s="66"/>
      <c r="U151" s="66" t="s">
        <v>1351</v>
      </c>
      <c r="V151" s="66"/>
      <c r="W151" s="66"/>
      <c r="X151" s="66"/>
      <c r="Y151" s="66"/>
      <c r="Z151" s="66"/>
    </row>
    <row r="152" spans="1:26" ht="99.9" hidden="1" customHeight="1" x14ac:dyDescent="0.3">
      <c r="A152" s="66" t="s">
        <v>1367</v>
      </c>
      <c r="B152" s="66" t="s">
        <v>117</v>
      </c>
      <c r="C152" s="66">
        <v>8.4</v>
      </c>
      <c r="D152" s="66" t="s">
        <v>1074</v>
      </c>
      <c r="E152" s="66" t="s">
        <v>1333</v>
      </c>
      <c r="F152" s="66"/>
      <c r="G152" s="66" t="s">
        <v>1090</v>
      </c>
      <c r="H152" s="66" t="s">
        <v>424</v>
      </c>
      <c r="I152" s="66" t="s">
        <v>1368</v>
      </c>
      <c r="J152" s="66" t="s">
        <v>1369</v>
      </c>
      <c r="K152" s="66">
        <v>8</v>
      </c>
      <c r="L152" s="66">
        <v>20</v>
      </c>
      <c r="M152" s="66" t="s">
        <v>1093</v>
      </c>
      <c r="N152" s="66">
        <v>300</v>
      </c>
      <c r="O152" s="66" t="s">
        <v>1370</v>
      </c>
      <c r="P152" s="66" t="s">
        <v>1371</v>
      </c>
      <c r="Q152" s="66"/>
      <c r="R152" s="66"/>
      <c r="S152" s="66"/>
      <c r="T152" s="66"/>
      <c r="U152" s="66" t="s">
        <v>1351</v>
      </c>
      <c r="V152" s="66"/>
      <c r="W152" s="66"/>
      <c r="X152" s="66"/>
      <c r="Y152" s="66"/>
      <c r="Z152" s="66"/>
    </row>
    <row r="153" spans="1:26" ht="99.9" hidden="1" customHeight="1" x14ac:dyDescent="0.3">
      <c r="A153" s="66" t="s">
        <v>1372</v>
      </c>
      <c r="B153" s="66" t="s">
        <v>117</v>
      </c>
      <c r="C153" s="66">
        <v>8.4</v>
      </c>
      <c r="D153" s="66" t="s">
        <v>1074</v>
      </c>
      <c r="E153" s="66" t="s">
        <v>1333</v>
      </c>
      <c r="F153" s="66"/>
      <c r="G153" s="66" t="s">
        <v>1090</v>
      </c>
      <c r="H153" s="66" t="s">
        <v>424</v>
      </c>
      <c r="I153" s="66" t="s">
        <v>1373</v>
      </c>
      <c r="J153" s="66" t="s">
        <v>1374</v>
      </c>
      <c r="K153" s="66">
        <v>4</v>
      </c>
      <c r="L153" s="66">
        <v>16</v>
      </c>
      <c r="M153" s="66" t="s">
        <v>1093</v>
      </c>
      <c r="N153" s="66">
        <v>300</v>
      </c>
      <c r="O153" s="66" t="s">
        <v>1375</v>
      </c>
      <c r="P153" s="66" t="s">
        <v>1139</v>
      </c>
      <c r="Q153" s="66"/>
      <c r="R153" s="66"/>
      <c r="S153" s="66"/>
      <c r="T153" s="66"/>
      <c r="U153" s="66" t="s">
        <v>1351</v>
      </c>
      <c r="V153" s="66"/>
      <c r="W153" s="66"/>
      <c r="X153" s="66"/>
      <c r="Y153" s="66"/>
      <c r="Z153" s="66"/>
    </row>
    <row r="154" spans="1:26" ht="99.9" hidden="1" customHeight="1" x14ac:dyDescent="0.3">
      <c r="A154" s="66" t="s">
        <v>1376</v>
      </c>
      <c r="B154" s="66" t="s">
        <v>117</v>
      </c>
      <c r="C154" s="66">
        <v>8.4</v>
      </c>
      <c r="D154" s="66" t="s">
        <v>1074</v>
      </c>
      <c r="E154" s="66" t="s">
        <v>1333</v>
      </c>
      <c r="F154" s="66"/>
      <c r="G154" s="66" t="s">
        <v>1090</v>
      </c>
      <c r="H154" s="66" t="s">
        <v>424</v>
      </c>
      <c r="I154" s="66" t="s">
        <v>1377</v>
      </c>
      <c r="J154" s="66" t="s">
        <v>1378</v>
      </c>
      <c r="K154" s="66">
        <v>4</v>
      </c>
      <c r="L154" s="66">
        <v>8</v>
      </c>
      <c r="M154" s="66" t="s">
        <v>1093</v>
      </c>
      <c r="N154" s="66">
        <v>300</v>
      </c>
      <c r="O154" s="66" t="s">
        <v>1379</v>
      </c>
      <c r="P154" s="66" t="s">
        <v>1380</v>
      </c>
      <c r="Q154" s="66"/>
      <c r="R154" s="66"/>
      <c r="S154" s="66"/>
      <c r="T154" s="66"/>
      <c r="U154" s="66" t="s">
        <v>1381</v>
      </c>
      <c r="V154" s="66"/>
      <c r="W154" s="66"/>
      <c r="X154" s="66"/>
      <c r="Y154" s="66"/>
      <c r="Z154" s="66"/>
    </row>
    <row r="155" spans="1:26" ht="99.9" hidden="1" customHeight="1" x14ac:dyDescent="0.3">
      <c r="A155" s="66" t="s">
        <v>1382</v>
      </c>
      <c r="B155" s="66" t="s">
        <v>117</v>
      </c>
      <c r="C155" s="66">
        <v>8.4</v>
      </c>
      <c r="D155" s="66" t="s">
        <v>1074</v>
      </c>
      <c r="E155" s="66" t="s">
        <v>1333</v>
      </c>
      <c r="F155" s="66"/>
      <c r="G155" s="66" t="s">
        <v>1090</v>
      </c>
      <c r="H155" s="66" t="s">
        <v>424</v>
      </c>
      <c r="I155" s="66" t="s">
        <v>1347</v>
      </c>
      <c r="J155" s="66" t="s">
        <v>1383</v>
      </c>
      <c r="K155" s="66">
        <v>8</v>
      </c>
      <c r="L155" s="66">
        <v>10</v>
      </c>
      <c r="M155" s="66" t="s">
        <v>1093</v>
      </c>
      <c r="N155" s="66">
        <v>300</v>
      </c>
      <c r="O155" s="66" t="s">
        <v>1384</v>
      </c>
      <c r="P155" s="66" t="s">
        <v>1385</v>
      </c>
      <c r="Q155" s="66"/>
      <c r="R155" s="66"/>
      <c r="S155" s="66"/>
      <c r="T155" s="66"/>
      <c r="U155" s="66" t="s">
        <v>1386</v>
      </c>
      <c r="V155" s="66"/>
      <c r="W155" s="66"/>
      <c r="X155" s="66"/>
      <c r="Y155" s="66"/>
      <c r="Z155" s="66"/>
    </row>
    <row r="156" spans="1:26" ht="99.9" hidden="1" customHeight="1" x14ac:dyDescent="0.3">
      <c r="A156" s="66" t="s">
        <v>1387</v>
      </c>
      <c r="B156" s="66" t="s">
        <v>117</v>
      </c>
      <c r="C156" s="66">
        <v>8.4</v>
      </c>
      <c r="D156" s="66" t="s">
        <v>1074</v>
      </c>
      <c r="E156" s="66" t="s">
        <v>1333</v>
      </c>
      <c r="F156" s="66"/>
      <c r="G156" s="66"/>
      <c r="H156" s="66" t="s">
        <v>424</v>
      </c>
      <c r="I156" s="66" t="s">
        <v>1388</v>
      </c>
      <c r="J156" s="66" t="s">
        <v>1389</v>
      </c>
      <c r="K156" s="66">
        <v>8</v>
      </c>
      <c r="L156" s="66">
        <v>24</v>
      </c>
      <c r="M156" s="66" t="s">
        <v>1390</v>
      </c>
      <c r="N156" s="66"/>
      <c r="O156" s="66" t="s">
        <v>1391</v>
      </c>
      <c r="P156" s="66" t="s">
        <v>1392</v>
      </c>
      <c r="Q156" s="66"/>
      <c r="R156" s="66"/>
      <c r="S156" s="66"/>
      <c r="T156" s="66"/>
      <c r="U156" s="66" t="s">
        <v>1386</v>
      </c>
      <c r="V156" s="66"/>
      <c r="W156" s="66"/>
      <c r="X156" s="66"/>
      <c r="Y156" s="66"/>
      <c r="Z156" s="66"/>
    </row>
    <row r="157" spans="1:26" ht="99.9" hidden="1" customHeight="1" x14ac:dyDescent="0.3">
      <c r="A157" s="66" t="s">
        <v>1393</v>
      </c>
      <c r="B157" s="66" t="s">
        <v>117</v>
      </c>
      <c r="C157" s="66">
        <v>8.4</v>
      </c>
      <c r="D157" s="66" t="s">
        <v>1074</v>
      </c>
      <c r="E157" s="66" t="s">
        <v>1333</v>
      </c>
      <c r="F157" s="66"/>
      <c r="G157" s="66"/>
      <c r="H157" s="66" t="s">
        <v>424</v>
      </c>
      <c r="I157" s="66" t="s">
        <v>1394</v>
      </c>
      <c r="J157" s="66" t="s">
        <v>1395</v>
      </c>
      <c r="K157" s="66">
        <v>8</v>
      </c>
      <c r="L157" s="66">
        <v>16</v>
      </c>
      <c r="M157" s="66" t="s">
        <v>1093</v>
      </c>
      <c r="N157" s="66">
        <v>300</v>
      </c>
      <c r="O157" s="66" t="s">
        <v>1396</v>
      </c>
      <c r="P157" s="66" t="s">
        <v>1397</v>
      </c>
      <c r="Q157" s="66"/>
      <c r="R157" s="66"/>
      <c r="S157" s="66"/>
      <c r="T157" s="66"/>
      <c r="U157" s="66" t="s">
        <v>1386</v>
      </c>
      <c r="V157" s="66"/>
      <c r="W157" s="66"/>
      <c r="X157" s="66"/>
      <c r="Y157" s="66"/>
      <c r="Z157" s="66" t="s">
        <v>1398</v>
      </c>
    </row>
    <row r="158" spans="1:26" ht="99.9" hidden="1" customHeight="1" x14ac:dyDescent="0.3">
      <c r="A158" s="66" t="s">
        <v>1399</v>
      </c>
      <c r="B158" s="66" t="s">
        <v>125</v>
      </c>
      <c r="C158" s="66" t="s">
        <v>1332</v>
      </c>
      <c r="D158" s="66" t="s">
        <v>1074</v>
      </c>
      <c r="E158" s="66" t="s">
        <v>1333</v>
      </c>
      <c r="F158" s="66"/>
      <c r="G158" s="66"/>
      <c r="H158" s="66" t="s">
        <v>424</v>
      </c>
      <c r="I158" s="66" t="s">
        <v>1400</v>
      </c>
      <c r="J158" s="66" t="s">
        <v>1401</v>
      </c>
      <c r="K158" s="66">
        <v>8</v>
      </c>
      <c r="L158" s="66">
        <v>16</v>
      </c>
      <c r="M158" s="66" t="s">
        <v>1402</v>
      </c>
      <c r="N158" s="66"/>
      <c r="O158" s="66" t="s">
        <v>1403</v>
      </c>
      <c r="P158" s="66" t="s">
        <v>1404</v>
      </c>
      <c r="Q158" s="66"/>
      <c r="R158" s="66"/>
      <c r="S158" s="66"/>
      <c r="T158" s="66"/>
      <c r="U158" s="66" t="s">
        <v>1386</v>
      </c>
      <c r="V158" s="66"/>
      <c r="W158" s="66"/>
      <c r="X158" s="66"/>
      <c r="Y158" s="66"/>
      <c r="Z158" s="66" t="s">
        <v>1398</v>
      </c>
    </row>
    <row r="159" spans="1:26" ht="99.9" hidden="1" customHeight="1" x14ac:dyDescent="0.3">
      <c r="A159" s="66" t="s">
        <v>1405</v>
      </c>
      <c r="B159" s="66" t="s">
        <v>117</v>
      </c>
      <c r="C159" s="66">
        <v>8.4</v>
      </c>
      <c r="D159" s="66" t="s">
        <v>1074</v>
      </c>
      <c r="E159" s="66" t="s">
        <v>1333</v>
      </c>
      <c r="F159" s="66"/>
      <c r="G159" s="66"/>
      <c r="H159" s="66" t="s">
        <v>1078</v>
      </c>
      <c r="I159" s="66" t="s">
        <v>1406</v>
      </c>
      <c r="J159" s="66" t="s">
        <v>1407</v>
      </c>
      <c r="K159" s="66">
        <v>8</v>
      </c>
      <c r="L159" s="66">
        <v>32</v>
      </c>
      <c r="M159" s="66" t="s">
        <v>1081</v>
      </c>
      <c r="N159" s="66">
        <v>500</v>
      </c>
      <c r="O159" s="66" t="s">
        <v>1408</v>
      </c>
      <c r="P159" s="66" t="s">
        <v>1409</v>
      </c>
      <c r="Q159" s="66"/>
      <c r="R159" s="66"/>
      <c r="S159" s="66"/>
      <c r="T159" s="66"/>
      <c r="U159" s="66" t="s">
        <v>1410</v>
      </c>
      <c r="V159" s="66"/>
      <c r="W159" s="66"/>
      <c r="X159" s="66"/>
      <c r="Y159" s="66"/>
      <c r="Z159" s="66"/>
    </row>
    <row r="160" spans="1:26" ht="99.9" hidden="1" customHeight="1" x14ac:dyDescent="0.3">
      <c r="A160" s="66" t="s">
        <v>1411</v>
      </c>
      <c r="B160" s="66" t="s">
        <v>117</v>
      </c>
      <c r="C160" s="66">
        <v>8.4</v>
      </c>
      <c r="D160" s="66" t="s">
        <v>1074</v>
      </c>
      <c r="E160" s="66" t="s">
        <v>1333</v>
      </c>
      <c r="F160" s="66"/>
      <c r="G160" s="66"/>
      <c r="H160" s="66" t="s">
        <v>1412</v>
      </c>
      <c r="I160" s="66" t="s">
        <v>1413</v>
      </c>
      <c r="J160" s="66" t="s">
        <v>1414</v>
      </c>
      <c r="K160" s="66">
        <v>4</v>
      </c>
      <c r="L160" s="66">
        <v>8</v>
      </c>
      <c r="M160" s="66" t="s">
        <v>1093</v>
      </c>
      <c r="N160" s="66"/>
      <c r="O160" s="66" t="s">
        <v>1415</v>
      </c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99.9" hidden="1" customHeight="1" x14ac:dyDescent="0.3">
      <c r="A161" s="66" t="s">
        <v>1416</v>
      </c>
      <c r="B161" s="66" t="s">
        <v>117</v>
      </c>
      <c r="C161" s="66">
        <v>8.4</v>
      </c>
      <c r="D161" s="66" t="s">
        <v>1074</v>
      </c>
      <c r="E161" s="66" t="s">
        <v>1333</v>
      </c>
      <c r="F161" s="66"/>
      <c r="G161" s="66"/>
      <c r="H161" s="66" t="s">
        <v>1412</v>
      </c>
      <c r="I161" s="66" t="s">
        <v>1417</v>
      </c>
      <c r="J161" s="66" t="s">
        <v>1418</v>
      </c>
      <c r="K161" s="66">
        <v>4</v>
      </c>
      <c r="L161" s="66">
        <v>12</v>
      </c>
      <c r="M161" s="66" t="s">
        <v>1093</v>
      </c>
      <c r="N161" s="66"/>
      <c r="O161" s="66" t="s">
        <v>1419</v>
      </c>
      <c r="P161" s="66" t="s">
        <v>1420</v>
      </c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99.9" hidden="1" customHeight="1" x14ac:dyDescent="0.3">
      <c r="A162" s="66" t="s">
        <v>1421</v>
      </c>
      <c r="B162" s="66" t="s">
        <v>117</v>
      </c>
      <c r="C162" s="66">
        <v>8.4</v>
      </c>
      <c r="D162" s="66" t="s">
        <v>1074</v>
      </c>
      <c r="E162" s="66" t="s">
        <v>1333</v>
      </c>
      <c r="F162" s="66"/>
      <c r="G162" s="66"/>
      <c r="H162" s="66" t="s">
        <v>1412</v>
      </c>
      <c r="I162" s="66" t="s">
        <v>1422</v>
      </c>
      <c r="J162" s="66" t="s">
        <v>1423</v>
      </c>
      <c r="K162" s="66">
        <v>4</v>
      </c>
      <c r="L162" s="66">
        <v>8</v>
      </c>
      <c r="M162" s="66"/>
      <c r="N162" s="66"/>
      <c r="O162" s="66" t="s">
        <v>1424</v>
      </c>
      <c r="P162" s="66" t="s">
        <v>1425</v>
      </c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99.9" hidden="1" customHeight="1" x14ac:dyDescent="0.3">
      <c r="A163" s="66" t="s">
        <v>1426</v>
      </c>
      <c r="B163" s="66" t="s">
        <v>125</v>
      </c>
      <c r="C163" s="66">
        <v>2022</v>
      </c>
      <c r="D163" s="66" t="s">
        <v>1427</v>
      </c>
      <c r="E163" s="66" t="s">
        <v>1333</v>
      </c>
      <c r="F163" s="66"/>
      <c r="G163" s="66"/>
      <c r="H163" s="66" t="s">
        <v>1268</v>
      </c>
      <c r="I163" s="66" t="s">
        <v>1428</v>
      </c>
      <c r="J163" s="66" t="s">
        <v>1429</v>
      </c>
      <c r="K163" s="66">
        <v>16</v>
      </c>
      <c r="L163" s="66">
        <v>32</v>
      </c>
      <c r="M163" s="66" t="s">
        <v>1271</v>
      </c>
      <c r="N163" s="66"/>
      <c r="O163" s="66" t="s">
        <v>1430</v>
      </c>
      <c r="P163" s="66" t="s">
        <v>1431</v>
      </c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99.9" hidden="1" customHeight="1" x14ac:dyDescent="0.3">
      <c r="A164" s="66" t="s">
        <v>1432</v>
      </c>
      <c r="B164" s="66" t="s">
        <v>117</v>
      </c>
      <c r="C164" s="66">
        <v>8.4</v>
      </c>
      <c r="D164" s="66" t="s">
        <v>1427</v>
      </c>
      <c r="E164" s="66" t="s">
        <v>1333</v>
      </c>
      <c r="F164" s="66"/>
      <c r="G164" s="66"/>
      <c r="H164" s="66" t="s">
        <v>1268</v>
      </c>
      <c r="I164" s="66" t="s">
        <v>1433</v>
      </c>
      <c r="J164" s="66"/>
      <c r="K164" s="66">
        <v>8</v>
      </c>
      <c r="L164" s="66">
        <v>16</v>
      </c>
      <c r="M164" s="66" t="s">
        <v>1093</v>
      </c>
      <c r="N164" s="66">
        <v>400</v>
      </c>
      <c r="O164" s="66" t="s">
        <v>1434</v>
      </c>
      <c r="P164" s="66" t="s">
        <v>1435</v>
      </c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99.9" hidden="1" customHeight="1" x14ac:dyDescent="0.3">
      <c r="A165" s="66" t="s">
        <v>1436</v>
      </c>
      <c r="B165" s="66" t="s">
        <v>1437</v>
      </c>
      <c r="C165" s="66" t="s">
        <v>1438</v>
      </c>
      <c r="D165" s="66" t="s">
        <v>1074</v>
      </c>
      <c r="E165" s="66" t="s">
        <v>1333</v>
      </c>
      <c r="F165" s="66"/>
      <c r="G165" s="66"/>
      <c r="H165" s="66" t="s">
        <v>1439</v>
      </c>
      <c r="I165" s="66" t="s">
        <v>1440</v>
      </c>
      <c r="J165" s="66" t="s">
        <v>1441</v>
      </c>
      <c r="K165" s="66">
        <v>4</v>
      </c>
      <c r="L165" s="66">
        <v>19</v>
      </c>
      <c r="M165" s="66" t="s">
        <v>1442</v>
      </c>
      <c r="N165" s="66"/>
      <c r="O165" s="66" t="s">
        <v>1443</v>
      </c>
      <c r="P165" s="66" t="s">
        <v>1444</v>
      </c>
      <c r="Q165" s="66"/>
      <c r="R165" s="66"/>
      <c r="S165" s="66"/>
      <c r="T165" s="66"/>
      <c r="U165" s="66" t="s">
        <v>1437</v>
      </c>
      <c r="V165" s="66"/>
      <c r="W165" s="66"/>
      <c r="X165" s="66"/>
      <c r="Y165" s="66"/>
      <c r="Z165" s="66"/>
    </row>
    <row r="166" spans="1:26" ht="99.9" hidden="1" customHeight="1" x14ac:dyDescent="0.3">
      <c r="A166" s="66" t="s">
        <v>1445</v>
      </c>
      <c r="B166" s="66" t="s">
        <v>1446</v>
      </c>
      <c r="C166" s="66">
        <v>7.7</v>
      </c>
      <c r="D166" s="66" t="s">
        <v>1074</v>
      </c>
      <c r="E166" s="66" t="s">
        <v>1333</v>
      </c>
      <c r="F166" s="66"/>
      <c r="G166" s="66" t="s">
        <v>1447</v>
      </c>
      <c r="H166" s="66" t="s">
        <v>1412</v>
      </c>
      <c r="I166" s="66" t="s">
        <v>1448</v>
      </c>
      <c r="J166" s="66" t="s">
        <v>1449</v>
      </c>
      <c r="K166" s="66">
        <v>16</v>
      </c>
      <c r="L166" s="66">
        <v>48</v>
      </c>
      <c r="M166" s="66" t="s">
        <v>1450</v>
      </c>
      <c r="N166" s="66"/>
      <c r="O166" s="66" t="s">
        <v>1451</v>
      </c>
      <c r="P166" s="66" t="s">
        <v>1452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99.9" hidden="1" customHeight="1" x14ac:dyDescent="0.3">
      <c r="A167" s="66" t="s">
        <v>1453</v>
      </c>
      <c r="B167" s="66" t="s">
        <v>1446</v>
      </c>
      <c r="C167" s="66">
        <v>7.7</v>
      </c>
      <c r="D167" s="66" t="s">
        <v>1074</v>
      </c>
      <c r="E167" s="66" t="s">
        <v>1333</v>
      </c>
      <c r="F167" s="66"/>
      <c r="G167" s="66" t="s">
        <v>1447</v>
      </c>
      <c r="H167" s="66" t="s">
        <v>1412</v>
      </c>
      <c r="I167" s="66" t="s">
        <v>1454</v>
      </c>
      <c r="J167" s="66" t="s">
        <v>1455</v>
      </c>
      <c r="K167" s="66">
        <v>6</v>
      </c>
      <c r="L167" s="66">
        <v>17</v>
      </c>
      <c r="M167" s="66" t="s">
        <v>1456</v>
      </c>
      <c r="N167" s="66"/>
      <c r="O167" s="66" t="s">
        <v>1457</v>
      </c>
      <c r="P167" s="66" t="s">
        <v>1458</v>
      </c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99.9" hidden="1" customHeight="1" x14ac:dyDescent="0.3">
      <c r="A168" s="66" t="s">
        <v>1459</v>
      </c>
      <c r="B168" s="66" t="s">
        <v>117</v>
      </c>
      <c r="C168" s="66">
        <v>8.4</v>
      </c>
      <c r="D168" s="66" t="s">
        <v>1074</v>
      </c>
      <c r="E168" s="66" t="s">
        <v>1333</v>
      </c>
      <c r="F168" s="66"/>
      <c r="G168" s="66" t="s">
        <v>1090</v>
      </c>
      <c r="H168" s="66" t="s">
        <v>1412</v>
      </c>
      <c r="I168" s="66" t="s">
        <v>1460</v>
      </c>
      <c r="J168" s="66" t="s">
        <v>1461</v>
      </c>
      <c r="K168" s="66">
        <v>4</v>
      </c>
      <c r="L168" s="66">
        <v>8</v>
      </c>
      <c r="M168" s="66" t="s">
        <v>1093</v>
      </c>
      <c r="N168" s="66"/>
      <c r="O168" s="66" t="s">
        <v>1462</v>
      </c>
      <c r="P168" s="66"/>
      <c r="Q168" s="66"/>
      <c r="R168" s="66"/>
      <c r="S168" s="66"/>
      <c r="T168" s="66"/>
      <c r="U168" s="66" t="s">
        <v>1463</v>
      </c>
      <c r="V168" s="66"/>
      <c r="W168" s="66"/>
      <c r="X168" s="66"/>
      <c r="Y168" s="66"/>
      <c r="Z168" s="66"/>
    </row>
    <row r="169" spans="1:26" ht="99.9" hidden="1" customHeight="1" x14ac:dyDescent="0.3">
      <c r="A169" s="66" t="s">
        <v>1464</v>
      </c>
      <c r="B169" s="66" t="s">
        <v>1465</v>
      </c>
      <c r="C169" s="66" t="s">
        <v>1466</v>
      </c>
      <c r="D169" s="66" t="s">
        <v>1074</v>
      </c>
      <c r="E169" s="66" t="s">
        <v>1333</v>
      </c>
      <c r="F169" s="66"/>
      <c r="G169" s="66" t="s">
        <v>1447</v>
      </c>
      <c r="H169" s="66" t="s">
        <v>1467</v>
      </c>
      <c r="I169" s="66" t="s">
        <v>1468</v>
      </c>
      <c r="J169" s="66"/>
      <c r="K169" s="66">
        <v>2</v>
      </c>
      <c r="L169" s="66">
        <v>16</v>
      </c>
      <c r="M169" s="66" t="s">
        <v>1402</v>
      </c>
      <c r="N169" s="66"/>
      <c r="O169" s="66" t="s">
        <v>1469</v>
      </c>
      <c r="P169" s="66"/>
      <c r="Q169" s="66"/>
      <c r="R169" s="66"/>
      <c r="S169" s="66" t="s">
        <v>1470</v>
      </c>
      <c r="T169" s="66"/>
      <c r="U169" s="66"/>
      <c r="V169" s="66"/>
      <c r="W169" s="66"/>
      <c r="X169" s="66"/>
      <c r="Y169" s="66"/>
      <c r="Z169" s="66"/>
    </row>
    <row r="170" spans="1:26" ht="99.9" hidden="1" customHeight="1" x14ac:dyDescent="0.3">
      <c r="A170" s="66" t="s">
        <v>1471</v>
      </c>
      <c r="B170" s="66" t="s">
        <v>125</v>
      </c>
      <c r="C170" s="66" t="s">
        <v>1472</v>
      </c>
      <c r="D170" s="66" t="s">
        <v>1074</v>
      </c>
      <c r="E170" s="66" t="s">
        <v>1333</v>
      </c>
      <c r="F170" s="66"/>
      <c r="G170" s="66" t="s">
        <v>1447</v>
      </c>
      <c r="H170" s="66" t="s">
        <v>1467</v>
      </c>
      <c r="I170" s="66" t="s">
        <v>1473</v>
      </c>
      <c r="J170" s="66" t="s">
        <v>1474</v>
      </c>
      <c r="K170" s="66">
        <v>8</v>
      </c>
      <c r="L170" s="66">
        <v>32</v>
      </c>
      <c r="M170" s="66" t="s">
        <v>1475</v>
      </c>
      <c r="N170" s="66" t="s">
        <v>1476</v>
      </c>
      <c r="O170" s="66" t="s">
        <v>1477</v>
      </c>
      <c r="P170" s="66" t="s">
        <v>1478</v>
      </c>
      <c r="Q170" s="66"/>
      <c r="R170" s="66"/>
      <c r="S170" s="66" t="s">
        <v>1470</v>
      </c>
      <c r="T170" s="66"/>
      <c r="U170" s="66" t="s">
        <v>1479</v>
      </c>
      <c r="V170" s="66"/>
      <c r="W170" s="66"/>
      <c r="X170" s="66"/>
      <c r="Y170" s="66"/>
      <c r="Z170" s="66"/>
    </row>
    <row r="171" spans="1:26" ht="99.9" hidden="1" customHeight="1" x14ac:dyDescent="0.3">
      <c r="A171" s="66" t="s">
        <v>1480</v>
      </c>
      <c r="B171" s="66" t="s">
        <v>125</v>
      </c>
      <c r="C171" s="66" t="s">
        <v>1472</v>
      </c>
      <c r="D171" s="66" t="s">
        <v>1074</v>
      </c>
      <c r="E171" s="66" t="s">
        <v>1333</v>
      </c>
      <c r="F171" s="66"/>
      <c r="G171" s="66" t="s">
        <v>1447</v>
      </c>
      <c r="H171" s="66" t="s">
        <v>1467</v>
      </c>
      <c r="I171" s="66" t="s">
        <v>1481</v>
      </c>
      <c r="J171" s="66" t="s">
        <v>1474</v>
      </c>
      <c r="K171" s="66">
        <v>8</v>
      </c>
      <c r="L171" s="66">
        <v>32</v>
      </c>
      <c r="M171" s="66" t="s">
        <v>1475</v>
      </c>
      <c r="N171" s="66"/>
      <c r="O171" s="66" t="s">
        <v>1482</v>
      </c>
      <c r="P171" s="66" t="s">
        <v>1478</v>
      </c>
      <c r="Q171" s="66"/>
      <c r="R171" s="66"/>
      <c r="S171" s="66" t="s">
        <v>1470</v>
      </c>
      <c r="T171" s="66"/>
      <c r="U171" s="66" t="s">
        <v>1479</v>
      </c>
      <c r="V171" s="66"/>
      <c r="W171" s="66"/>
      <c r="X171" s="66"/>
      <c r="Y171" s="66"/>
      <c r="Z171" s="66"/>
    </row>
    <row r="172" spans="1:26" ht="99.9" hidden="1" customHeight="1" x14ac:dyDescent="0.3">
      <c r="A172" s="66" t="s">
        <v>1483</v>
      </c>
      <c r="B172" s="66" t="s">
        <v>125</v>
      </c>
      <c r="C172" s="66" t="s">
        <v>1472</v>
      </c>
      <c r="D172" s="66" t="s">
        <v>1074</v>
      </c>
      <c r="E172" s="66" t="s">
        <v>1333</v>
      </c>
      <c r="F172" s="66"/>
      <c r="G172" s="66" t="s">
        <v>1447</v>
      </c>
      <c r="H172" s="66" t="s">
        <v>1467</v>
      </c>
      <c r="I172" s="66" t="s">
        <v>1484</v>
      </c>
      <c r="J172" s="66" t="s">
        <v>1485</v>
      </c>
      <c r="K172" s="66">
        <v>16</v>
      </c>
      <c r="L172" s="66">
        <v>32</v>
      </c>
      <c r="M172" s="66" t="s">
        <v>1475</v>
      </c>
      <c r="N172" s="66"/>
      <c r="O172" s="66" t="s">
        <v>1486</v>
      </c>
      <c r="P172" s="66" t="s">
        <v>1487</v>
      </c>
      <c r="Q172" s="66"/>
      <c r="R172" s="66"/>
      <c r="S172" s="66" t="s">
        <v>1470</v>
      </c>
      <c r="T172" s="66"/>
      <c r="U172" s="66" t="s">
        <v>1479</v>
      </c>
      <c r="V172" s="66"/>
      <c r="W172" s="66"/>
      <c r="X172" s="66"/>
      <c r="Y172" s="66"/>
      <c r="Z172" s="66"/>
    </row>
    <row r="173" spans="1:26" ht="99.9" hidden="1" customHeight="1" x14ac:dyDescent="0.3">
      <c r="A173" s="66" t="s">
        <v>1488</v>
      </c>
      <c r="B173" s="66" t="s">
        <v>1489</v>
      </c>
      <c r="C173" s="66" t="s">
        <v>1490</v>
      </c>
      <c r="D173" s="66" t="s">
        <v>1074</v>
      </c>
      <c r="E173" s="66" t="s">
        <v>1333</v>
      </c>
      <c r="F173" s="66"/>
      <c r="G173" s="66" t="s">
        <v>1447</v>
      </c>
      <c r="H173" s="66" t="s">
        <v>1467</v>
      </c>
      <c r="I173" s="66" t="s">
        <v>1491</v>
      </c>
      <c r="J173" s="66"/>
      <c r="K173" s="66">
        <v>32</v>
      </c>
      <c r="L173" s="66">
        <v>64</v>
      </c>
      <c r="M173" s="66" t="s">
        <v>1492</v>
      </c>
      <c r="N173" s="66" t="s">
        <v>1476</v>
      </c>
      <c r="O173" s="66" t="s">
        <v>1493</v>
      </c>
      <c r="P173" s="66"/>
      <c r="Q173" s="66"/>
      <c r="R173" s="66"/>
      <c r="S173" s="66" t="s">
        <v>1470</v>
      </c>
      <c r="T173" s="66"/>
      <c r="U173" s="66"/>
      <c r="V173" s="66"/>
      <c r="W173" s="66"/>
      <c r="X173" s="66"/>
      <c r="Y173" s="66"/>
      <c r="Z173" s="66"/>
    </row>
    <row r="174" spans="1:26" ht="99.9" hidden="1" customHeight="1" x14ac:dyDescent="0.3">
      <c r="A174" s="66" t="s">
        <v>1494</v>
      </c>
      <c r="B174" s="66" t="s">
        <v>1495</v>
      </c>
      <c r="C174" s="66" t="s">
        <v>1496</v>
      </c>
      <c r="D174" s="66" t="s">
        <v>1074</v>
      </c>
      <c r="E174" s="66" t="s">
        <v>1333</v>
      </c>
      <c r="F174" s="66"/>
      <c r="G174" s="66" t="s">
        <v>1447</v>
      </c>
      <c r="H174" s="66" t="s">
        <v>1467</v>
      </c>
      <c r="I174" s="66" t="s">
        <v>1491</v>
      </c>
      <c r="J174" s="66"/>
      <c r="K174" s="66">
        <v>2</v>
      </c>
      <c r="L174" s="66">
        <v>4</v>
      </c>
      <c r="M174" s="66" t="s">
        <v>1497</v>
      </c>
      <c r="N174" s="66"/>
      <c r="O174" s="66" t="s">
        <v>1498</v>
      </c>
      <c r="P174" s="66"/>
      <c r="Q174" s="66"/>
      <c r="R174" s="66"/>
      <c r="S174" s="66" t="s">
        <v>1470</v>
      </c>
      <c r="T174" s="66"/>
      <c r="U174" s="66"/>
      <c r="V174" s="66"/>
      <c r="W174" s="66"/>
      <c r="X174" s="66"/>
      <c r="Y174" s="66"/>
      <c r="Z174" s="66"/>
    </row>
    <row r="175" spans="1:26" ht="99.9" hidden="1" customHeight="1" x14ac:dyDescent="0.3">
      <c r="A175" s="66" t="s">
        <v>1499</v>
      </c>
      <c r="B175" s="66" t="s">
        <v>1489</v>
      </c>
      <c r="C175" s="66" t="s">
        <v>1490</v>
      </c>
      <c r="D175" s="66" t="s">
        <v>1074</v>
      </c>
      <c r="E175" s="66" t="s">
        <v>1333</v>
      </c>
      <c r="F175" s="66"/>
      <c r="G175" s="66" t="s">
        <v>1447</v>
      </c>
      <c r="H175" s="66" t="s">
        <v>1467</v>
      </c>
      <c r="I175" s="66" t="s">
        <v>1491</v>
      </c>
      <c r="J175" s="66"/>
      <c r="K175" s="66">
        <v>8</v>
      </c>
      <c r="L175" s="66">
        <v>8</v>
      </c>
      <c r="M175" s="66" t="s">
        <v>1500</v>
      </c>
      <c r="N175" s="66"/>
      <c r="O175" s="66" t="s">
        <v>1501</v>
      </c>
      <c r="P175" s="66"/>
      <c r="Q175" s="66"/>
      <c r="R175" s="66"/>
      <c r="S175" s="66" t="s">
        <v>1470</v>
      </c>
      <c r="T175" s="66"/>
      <c r="U175" s="66"/>
      <c r="V175" s="66"/>
      <c r="W175" s="66"/>
      <c r="X175" s="66"/>
      <c r="Y175" s="66"/>
      <c r="Z175" s="66"/>
    </row>
    <row r="176" spans="1:26" ht="99.9" hidden="1" customHeight="1" x14ac:dyDescent="0.3">
      <c r="A176" s="66" t="s">
        <v>1502</v>
      </c>
      <c r="B176" s="66" t="s">
        <v>1489</v>
      </c>
      <c r="C176" s="66" t="s">
        <v>1490</v>
      </c>
      <c r="D176" s="66" t="s">
        <v>1074</v>
      </c>
      <c r="E176" s="66" t="s">
        <v>1333</v>
      </c>
      <c r="F176" s="66"/>
      <c r="G176" s="66" t="s">
        <v>1447</v>
      </c>
      <c r="H176" s="66" t="s">
        <v>1467</v>
      </c>
      <c r="I176" s="66" t="s">
        <v>1491</v>
      </c>
      <c r="J176" s="66"/>
      <c r="K176" s="66">
        <v>8</v>
      </c>
      <c r="L176" s="66">
        <v>8</v>
      </c>
      <c r="M176" s="66" t="s">
        <v>1500</v>
      </c>
      <c r="N176" s="66"/>
      <c r="O176" s="66" t="s">
        <v>1503</v>
      </c>
      <c r="P176" s="66"/>
      <c r="Q176" s="66"/>
      <c r="R176" s="66"/>
      <c r="S176" s="66" t="s">
        <v>1470</v>
      </c>
      <c r="T176" s="66"/>
      <c r="U176" s="66"/>
      <c r="V176" s="66"/>
      <c r="W176" s="66"/>
      <c r="X176" s="66"/>
      <c r="Y176" s="66"/>
      <c r="Z176" s="66"/>
    </row>
    <row r="177" spans="1:26" ht="99.9" hidden="1" customHeight="1" x14ac:dyDescent="0.3">
      <c r="A177" s="66" t="s">
        <v>1504</v>
      </c>
      <c r="B177" s="66" t="s">
        <v>1489</v>
      </c>
      <c r="C177" s="66" t="s">
        <v>1490</v>
      </c>
      <c r="D177" s="66" t="s">
        <v>1074</v>
      </c>
      <c r="E177" s="66" t="s">
        <v>1333</v>
      </c>
      <c r="F177" s="66"/>
      <c r="G177" s="66" t="s">
        <v>1447</v>
      </c>
      <c r="H177" s="66" t="s">
        <v>1467</v>
      </c>
      <c r="I177" s="66" t="s">
        <v>1491</v>
      </c>
      <c r="J177" s="66"/>
      <c r="K177" s="66">
        <v>8</v>
      </c>
      <c r="L177" s="66">
        <v>8</v>
      </c>
      <c r="M177" s="66" t="s">
        <v>1500</v>
      </c>
      <c r="N177" s="66"/>
      <c r="O177" s="66" t="s">
        <v>1505</v>
      </c>
      <c r="P177" s="66"/>
      <c r="Q177" s="66"/>
      <c r="R177" s="66"/>
      <c r="S177" s="66" t="s">
        <v>1470</v>
      </c>
      <c r="T177" s="66"/>
      <c r="U177" s="66"/>
      <c r="V177" s="66"/>
      <c r="W177" s="66"/>
      <c r="X177" s="66"/>
      <c r="Y177" s="66"/>
      <c r="Z177" s="66"/>
    </row>
    <row r="178" spans="1:26" ht="99.9" hidden="1" customHeight="1" x14ac:dyDescent="0.3">
      <c r="A178" s="66" t="s">
        <v>1506</v>
      </c>
      <c r="B178" s="66" t="s">
        <v>117</v>
      </c>
      <c r="C178" s="66">
        <v>8.4</v>
      </c>
      <c r="D178" s="66" t="s">
        <v>1074</v>
      </c>
      <c r="E178" s="66" t="s">
        <v>1333</v>
      </c>
      <c r="F178" s="66"/>
      <c r="G178" s="66" t="s">
        <v>1507</v>
      </c>
      <c r="H178" s="66" t="s">
        <v>1467</v>
      </c>
      <c r="I178" s="66" t="s">
        <v>1508</v>
      </c>
      <c r="J178" s="66" t="s">
        <v>1509</v>
      </c>
      <c r="K178" s="66">
        <v>1</v>
      </c>
      <c r="L178" s="66">
        <v>16</v>
      </c>
      <c r="M178" s="66" t="s">
        <v>1510</v>
      </c>
      <c r="N178" s="66"/>
      <c r="O178" s="66" t="s">
        <v>1511</v>
      </c>
      <c r="P178" s="66"/>
      <c r="Q178" s="66"/>
      <c r="R178" s="66"/>
      <c r="S178" s="66" t="s">
        <v>1470</v>
      </c>
      <c r="T178" s="66"/>
      <c r="U178" s="66"/>
      <c r="V178" s="66"/>
      <c r="W178" s="66"/>
      <c r="X178" s="66"/>
      <c r="Y178" s="66"/>
      <c r="Z178" s="66"/>
    </row>
    <row r="179" spans="1:26" ht="99.9" hidden="1" customHeight="1" x14ac:dyDescent="0.3">
      <c r="A179" s="66" t="s">
        <v>1512</v>
      </c>
      <c r="B179" s="66" t="s">
        <v>117</v>
      </c>
      <c r="C179" s="66">
        <v>8.4</v>
      </c>
      <c r="D179" s="66" t="s">
        <v>1074</v>
      </c>
      <c r="E179" s="66" t="s">
        <v>1333</v>
      </c>
      <c r="F179" s="66"/>
      <c r="G179" s="66" t="s">
        <v>1507</v>
      </c>
      <c r="H179" s="66" t="s">
        <v>1467</v>
      </c>
      <c r="I179" s="66" t="s">
        <v>1508</v>
      </c>
      <c r="J179" s="66" t="s">
        <v>1509</v>
      </c>
      <c r="K179" s="66">
        <v>1</v>
      </c>
      <c r="L179" s="66">
        <v>16</v>
      </c>
      <c r="M179" s="66" t="s">
        <v>1510</v>
      </c>
      <c r="N179" s="66"/>
      <c r="O179" s="66" t="s">
        <v>1513</v>
      </c>
      <c r="P179" s="66"/>
      <c r="Q179" s="66"/>
      <c r="R179" s="66"/>
      <c r="S179" s="66" t="s">
        <v>1470</v>
      </c>
      <c r="T179" s="66"/>
      <c r="U179" s="66"/>
      <c r="V179" s="66"/>
      <c r="W179" s="66"/>
      <c r="X179" s="66"/>
      <c r="Y179" s="66"/>
      <c r="Z179" s="66"/>
    </row>
    <row r="180" spans="1:26" ht="99.9" hidden="1" customHeight="1" x14ac:dyDescent="0.3">
      <c r="A180" s="66" t="s">
        <v>1514</v>
      </c>
      <c r="B180" s="66" t="s">
        <v>117</v>
      </c>
      <c r="C180" s="66">
        <v>8.4</v>
      </c>
      <c r="D180" s="66" t="s">
        <v>1074</v>
      </c>
      <c r="E180" s="66" t="s">
        <v>1333</v>
      </c>
      <c r="F180" s="66"/>
      <c r="G180" s="66" t="s">
        <v>1507</v>
      </c>
      <c r="H180" s="66" t="s">
        <v>1467</v>
      </c>
      <c r="I180" s="66" t="s">
        <v>1515</v>
      </c>
      <c r="J180" s="66" t="s">
        <v>1516</v>
      </c>
      <c r="K180" s="66">
        <v>2</v>
      </c>
      <c r="L180" s="66">
        <v>64</v>
      </c>
      <c r="M180" s="66" t="s">
        <v>1517</v>
      </c>
      <c r="N180" s="66" t="s">
        <v>1476</v>
      </c>
      <c r="O180" s="66" t="s">
        <v>1518</v>
      </c>
      <c r="P180" s="66"/>
      <c r="Q180" s="66"/>
      <c r="R180" s="66"/>
      <c r="S180" s="66" t="s">
        <v>1470</v>
      </c>
      <c r="T180" s="66"/>
      <c r="U180" s="66"/>
      <c r="V180" s="66"/>
      <c r="W180" s="66"/>
      <c r="X180" s="66"/>
      <c r="Y180" s="66"/>
      <c r="Z180" s="66"/>
    </row>
    <row r="181" spans="1:26" ht="99.9" hidden="1" customHeight="1" x14ac:dyDescent="0.3">
      <c r="A181" s="66" t="s">
        <v>1519</v>
      </c>
      <c r="B181" s="66" t="s">
        <v>125</v>
      </c>
      <c r="C181" s="66" t="s">
        <v>1472</v>
      </c>
      <c r="D181" s="66" t="s">
        <v>1074</v>
      </c>
      <c r="E181" s="66" t="s">
        <v>1333</v>
      </c>
      <c r="F181" s="66"/>
      <c r="G181" s="66"/>
      <c r="H181" s="66" t="s">
        <v>1467</v>
      </c>
      <c r="I181" s="66" t="s">
        <v>1520</v>
      </c>
      <c r="J181" s="66" t="s">
        <v>1521</v>
      </c>
      <c r="K181" s="66">
        <v>4</v>
      </c>
      <c r="L181" s="66">
        <v>16</v>
      </c>
      <c r="M181" s="66" t="s">
        <v>1522</v>
      </c>
      <c r="N181" s="66"/>
      <c r="O181" s="66" t="s">
        <v>1523</v>
      </c>
      <c r="P181" s="66" t="s">
        <v>1524</v>
      </c>
      <c r="Q181" s="66"/>
      <c r="R181" s="66"/>
      <c r="S181" s="66" t="s">
        <v>1470</v>
      </c>
      <c r="T181" s="66"/>
      <c r="U181" s="66"/>
      <c r="V181" s="66"/>
      <c r="W181" s="66"/>
      <c r="X181" s="66"/>
      <c r="Y181" s="66"/>
      <c r="Z181" s="66"/>
    </row>
    <row r="182" spans="1:26" ht="99.9" hidden="1" customHeight="1" x14ac:dyDescent="0.3">
      <c r="A182" s="66" t="s">
        <v>1525</v>
      </c>
      <c r="B182" s="66" t="s">
        <v>117</v>
      </c>
      <c r="C182" s="66">
        <v>8.4</v>
      </c>
      <c r="D182" s="66" t="s">
        <v>1526</v>
      </c>
      <c r="E182" s="66" t="s">
        <v>1333</v>
      </c>
      <c r="F182" s="66"/>
      <c r="G182" s="66" t="s">
        <v>1090</v>
      </c>
      <c r="H182" s="66" t="s">
        <v>1527</v>
      </c>
      <c r="I182" s="66" t="s">
        <v>1528</v>
      </c>
      <c r="J182" s="66" t="s">
        <v>1529</v>
      </c>
      <c r="K182" s="66">
        <v>8</v>
      </c>
      <c r="L182" s="66">
        <v>24</v>
      </c>
      <c r="M182" s="66" t="s">
        <v>1390</v>
      </c>
      <c r="N182" s="66">
        <v>100</v>
      </c>
      <c r="O182" s="66" t="s">
        <v>1530</v>
      </c>
      <c r="P182" s="66"/>
      <c r="Q182" s="66"/>
      <c r="R182" s="66"/>
      <c r="S182" s="66"/>
      <c r="T182" s="66"/>
      <c r="U182" s="66" t="s">
        <v>1531</v>
      </c>
      <c r="V182" s="66"/>
      <c r="W182" s="66"/>
      <c r="X182" s="66"/>
      <c r="Y182" s="66"/>
      <c r="Z182" s="66"/>
    </row>
    <row r="183" spans="1:26" ht="99.9" hidden="1" customHeight="1" x14ac:dyDescent="0.3">
      <c r="A183" s="66" t="s">
        <v>1532</v>
      </c>
      <c r="B183" s="66" t="s">
        <v>117</v>
      </c>
      <c r="C183" s="66">
        <v>7.4</v>
      </c>
      <c r="D183" s="66" t="s">
        <v>1533</v>
      </c>
      <c r="E183" s="66" t="s">
        <v>1534</v>
      </c>
      <c r="F183" s="66"/>
      <c r="G183" s="66"/>
      <c r="H183" s="66" t="s">
        <v>1412</v>
      </c>
      <c r="I183" s="66" t="s">
        <v>1535</v>
      </c>
      <c r="J183" s="66" t="s">
        <v>1536</v>
      </c>
      <c r="K183" s="66">
        <v>4</v>
      </c>
      <c r="L183" s="66">
        <v>32</v>
      </c>
      <c r="M183" s="66"/>
      <c r="N183" s="66"/>
      <c r="O183" s="66" t="s">
        <v>1537</v>
      </c>
      <c r="P183" s="66"/>
      <c r="Q183" s="66"/>
      <c r="R183" s="66"/>
      <c r="S183" s="66" t="s">
        <v>1538</v>
      </c>
      <c r="T183" s="66"/>
      <c r="U183" s="66"/>
      <c r="V183" s="66"/>
      <c r="W183" s="66"/>
      <c r="X183" s="66"/>
      <c r="Y183" s="66"/>
      <c r="Z183" s="66"/>
    </row>
    <row r="184" spans="1:26" ht="99.9" hidden="1" customHeight="1" x14ac:dyDescent="0.3">
      <c r="A184" s="66" t="s">
        <v>1539</v>
      </c>
      <c r="B184" s="66" t="s">
        <v>117</v>
      </c>
      <c r="C184" s="66">
        <v>7.4</v>
      </c>
      <c r="D184" s="66" t="s">
        <v>1533</v>
      </c>
      <c r="E184" s="66" t="s">
        <v>1534</v>
      </c>
      <c r="F184" s="66"/>
      <c r="G184" s="66"/>
      <c r="H184" s="66" t="s">
        <v>1412</v>
      </c>
      <c r="I184" s="66" t="s">
        <v>1535</v>
      </c>
      <c r="J184" s="66" t="s">
        <v>1536</v>
      </c>
      <c r="K184" s="66">
        <v>4</v>
      </c>
      <c r="L184" s="66">
        <v>32</v>
      </c>
      <c r="M184" s="66"/>
      <c r="N184" s="66"/>
      <c r="O184" s="66" t="s">
        <v>1540</v>
      </c>
      <c r="P184" s="66"/>
      <c r="Q184" s="66"/>
      <c r="R184" s="66"/>
      <c r="S184" s="66" t="s">
        <v>1538</v>
      </c>
      <c r="T184" s="66"/>
      <c r="U184" s="66"/>
      <c r="V184" s="66"/>
      <c r="W184" s="66"/>
      <c r="X184" s="66"/>
      <c r="Y184" s="66"/>
      <c r="Z184" s="66"/>
    </row>
    <row r="185" spans="1:26" ht="99.9" hidden="1" customHeight="1" x14ac:dyDescent="0.3">
      <c r="A185" s="66" t="s">
        <v>1541</v>
      </c>
      <c r="B185" s="66" t="s">
        <v>117</v>
      </c>
      <c r="C185" s="66">
        <v>7.4</v>
      </c>
      <c r="D185" s="66" t="s">
        <v>1533</v>
      </c>
      <c r="E185" s="66" t="s">
        <v>363</v>
      </c>
      <c r="F185" s="66"/>
      <c r="G185" s="66"/>
      <c r="H185" s="66" t="s">
        <v>1412</v>
      </c>
      <c r="I185" s="66" t="s">
        <v>1535</v>
      </c>
      <c r="J185" s="66" t="s">
        <v>1536</v>
      </c>
      <c r="K185" s="66">
        <v>4</v>
      </c>
      <c r="L185" s="66">
        <v>32</v>
      </c>
      <c r="M185" s="66"/>
      <c r="N185" s="66"/>
      <c r="O185" s="66" t="s">
        <v>1542</v>
      </c>
      <c r="P185" s="66"/>
      <c r="Q185" s="66"/>
      <c r="R185" s="66"/>
      <c r="S185" s="66" t="s">
        <v>1538</v>
      </c>
      <c r="T185" s="66"/>
      <c r="U185" s="66"/>
      <c r="V185" s="66"/>
      <c r="W185" s="66"/>
      <c r="X185" s="66"/>
      <c r="Y185" s="66"/>
      <c r="Z185" s="66"/>
    </row>
    <row r="186" spans="1:26" ht="99.9" hidden="1" customHeight="1" x14ac:dyDescent="0.3">
      <c r="A186" s="66" t="s">
        <v>1543</v>
      </c>
      <c r="B186" s="66" t="s">
        <v>117</v>
      </c>
      <c r="C186" s="66">
        <v>7.4</v>
      </c>
      <c r="D186" s="66" t="s">
        <v>1533</v>
      </c>
      <c r="E186" s="66" t="s">
        <v>363</v>
      </c>
      <c r="F186" s="66"/>
      <c r="G186" s="66"/>
      <c r="H186" s="66" t="s">
        <v>1412</v>
      </c>
      <c r="I186" s="66" t="s">
        <v>1535</v>
      </c>
      <c r="J186" s="66" t="s">
        <v>1536</v>
      </c>
      <c r="K186" s="66">
        <v>4</v>
      </c>
      <c r="L186" s="66">
        <v>32</v>
      </c>
      <c r="M186" s="66"/>
      <c r="N186" s="66"/>
      <c r="O186" s="66" t="s">
        <v>1544</v>
      </c>
      <c r="P186" s="66"/>
      <c r="Q186" s="66"/>
      <c r="R186" s="66"/>
      <c r="S186" s="66" t="s">
        <v>1538</v>
      </c>
      <c r="T186" s="66"/>
      <c r="U186" s="66"/>
      <c r="V186" s="66"/>
      <c r="W186" s="66"/>
      <c r="X186" s="66"/>
      <c r="Y186" s="66"/>
      <c r="Z186" s="66"/>
    </row>
    <row r="187" spans="1:26" ht="99.9" hidden="1" customHeight="1" x14ac:dyDescent="0.3">
      <c r="A187" s="66" t="s">
        <v>1545</v>
      </c>
      <c r="B187" s="66" t="s">
        <v>117</v>
      </c>
      <c r="C187" s="66">
        <v>7.4</v>
      </c>
      <c r="D187" s="66" t="s">
        <v>1533</v>
      </c>
      <c r="E187" s="66" t="s">
        <v>363</v>
      </c>
      <c r="F187" s="66"/>
      <c r="G187" s="66"/>
      <c r="H187" s="66" t="s">
        <v>1412</v>
      </c>
      <c r="I187" s="66" t="s">
        <v>1535</v>
      </c>
      <c r="J187" s="66" t="s">
        <v>1536</v>
      </c>
      <c r="K187" s="66">
        <v>4</v>
      </c>
      <c r="L187" s="66">
        <v>32</v>
      </c>
      <c r="M187" s="66"/>
      <c r="N187" s="66"/>
      <c r="O187" s="66" t="s">
        <v>1546</v>
      </c>
      <c r="P187" s="66"/>
      <c r="Q187" s="66"/>
      <c r="R187" s="66"/>
      <c r="S187" s="66" t="s">
        <v>1538</v>
      </c>
      <c r="T187" s="66"/>
      <c r="U187" s="66"/>
      <c r="V187" s="66"/>
      <c r="W187" s="66"/>
      <c r="X187" s="66"/>
      <c r="Y187" s="66"/>
      <c r="Z187" s="66"/>
    </row>
    <row r="188" spans="1:26" ht="99.9" hidden="1" customHeight="1" x14ac:dyDescent="0.3">
      <c r="A188" s="66" t="s">
        <v>1547</v>
      </c>
      <c r="B188" s="66" t="s">
        <v>117</v>
      </c>
      <c r="C188" s="66">
        <v>7.4</v>
      </c>
      <c r="D188" s="66" t="s">
        <v>1533</v>
      </c>
      <c r="E188" s="66" t="s">
        <v>363</v>
      </c>
      <c r="F188" s="66"/>
      <c r="G188" s="66"/>
      <c r="H188" s="66" t="s">
        <v>1412</v>
      </c>
      <c r="I188" s="66" t="s">
        <v>1535</v>
      </c>
      <c r="J188" s="66" t="s">
        <v>1536</v>
      </c>
      <c r="K188" s="66">
        <v>4</v>
      </c>
      <c r="L188" s="66">
        <v>32</v>
      </c>
      <c r="M188" s="66"/>
      <c r="N188" s="66"/>
      <c r="O188" s="66" t="s">
        <v>1548</v>
      </c>
      <c r="P188" s="66"/>
      <c r="Q188" s="66"/>
      <c r="R188" s="66"/>
      <c r="S188" s="66" t="s">
        <v>1538</v>
      </c>
      <c r="T188" s="66"/>
      <c r="U188" s="66"/>
      <c r="V188" s="66"/>
      <c r="W188" s="66"/>
      <c r="X188" s="66"/>
      <c r="Y188" s="66"/>
      <c r="Z188" s="66"/>
    </row>
    <row r="189" spans="1:26" ht="99.9" hidden="1" customHeight="1" x14ac:dyDescent="0.3">
      <c r="A189" s="66" t="s">
        <v>1549</v>
      </c>
      <c r="B189" s="66" t="s">
        <v>117</v>
      </c>
      <c r="C189" s="66">
        <v>7.4</v>
      </c>
      <c r="D189" s="66" t="s">
        <v>1533</v>
      </c>
      <c r="E189" s="66" t="s">
        <v>363</v>
      </c>
      <c r="F189" s="66"/>
      <c r="G189" s="66"/>
      <c r="H189" s="66" t="s">
        <v>1412</v>
      </c>
      <c r="I189" s="66" t="s">
        <v>1550</v>
      </c>
      <c r="J189" s="66" t="s">
        <v>1536</v>
      </c>
      <c r="K189" s="66">
        <v>4</v>
      </c>
      <c r="L189" s="66">
        <v>32</v>
      </c>
      <c r="M189" s="66"/>
      <c r="N189" s="66"/>
      <c r="O189" s="66" t="s">
        <v>1551</v>
      </c>
      <c r="P189" s="66"/>
      <c r="Q189" s="66"/>
      <c r="R189" s="66"/>
      <c r="S189" s="66" t="s">
        <v>1538</v>
      </c>
      <c r="T189" s="66"/>
      <c r="U189" s="66"/>
      <c r="V189" s="66"/>
      <c r="W189" s="66"/>
      <c r="X189" s="66"/>
      <c r="Y189" s="66"/>
      <c r="Z189" s="66"/>
    </row>
    <row r="190" spans="1:26" ht="99.9" hidden="1" customHeight="1" x14ac:dyDescent="0.3">
      <c r="A190" s="66" t="s">
        <v>1552</v>
      </c>
      <c r="B190" s="66" t="s">
        <v>117</v>
      </c>
      <c r="C190" s="66">
        <v>7.4</v>
      </c>
      <c r="D190" s="66" t="s">
        <v>1533</v>
      </c>
      <c r="E190" s="66" t="s">
        <v>1534</v>
      </c>
      <c r="F190" s="66"/>
      <c r="G190" s="66"/>
      <c r="H190" s="66" t="s">
        <v>1412</v>
      </c>
      <c r="I190" s="66" t="s">
        <v>1535</v>
      </c>
      <c r="J190" s="66" t="s">
        <v>1536</v>
      </c>
      <c r="K190" s="66">
        <v>4</v>
      </c>
      <c r="L190" s="66">
        <v>32</v>
      </c>
      <c r="M190" s="66"/>
      <c r="N190" s="66"/>
      <c r="O190" s="66" t="s">
        <v>1553</v>
      </c>
      <c r="P190" s="66"/>
      <c r="Q190" s="66"/>
      <c r="R190" s="66"/>
      <c r="S190" s="66" t="s">
        <v>1538</v>
      </c>
      <c r="T190" s="66"/>
      <c r="U190" s="66"/>
      <c r="V190" s="66"/>
      <c r="W190" s="66"/>
      <c r="X190" s="66"/>
      <c r="Y190" s="66"/>
      <c r="Z190" s="66"/>
    </row>
    <row r="191" spans="1:26" ht="99.9" hidden="1" customHeight="1" x14ac:dyDescent="0.3">
      <c r="A191" s="66" t="s">
        <v>1554</v>
      </c>
      <c r="B191" s="66" t="s">
        <v>117</v>
      </c>
      <c r="C191" s="66">
        <v>7.4</v>
      </c>
      <c r="D191" s="66" t="s">
        <v>1533</v>
      </c>
      <c r="E191" s="66" t="s">
        <v>1534</v>
      </c>
      <c r="F191" s="66"/>
      <c r="G191" s="66"/>
      <c r="H191" s="66" t="s">
        <v>1412</v>
      </c>
      <c r="I191" s="66" t="s">
        <v>1535</v>
      </c>
      <c r="J191" s="66" t="s">
        <v>1536</v>
      </c>
      <c r="K191" s="66">
        <v>4</v>
      </c>
      <c r="L191" s="66">
        <v>32</v>
      </c>
      <c r="M191" s="66"/>
      <c r="N191" s="66"/>
      <c r="O191" s="66" t="s">
        <v>1555</v>
      </c>
      <c r="P191" s="66"/>
      <c r="Q191" s="66"/>
      <c r="R191" s="66"/>
      <c r="S191" s="66" t="s">
        <v>1538</v>
      </c>
      <c r="T191" s="66"/>
      <c r="U191" s="66"/>
      <c r="V191" s="66"/>
      <c r="W191" s="66"/>
      <c r="X191" s="66"/>
      <c r="Y191" s="66"/>
      <c r="Z191" s="66"/>
    </row>
    <row r="192" spans="1:26" ht="99.9" hidden="1" customHeight="1" x14ac:dyDescent="0.3">
      <c r="A192" s="66" t="s">
        <v>1556</v>
      </c>
      <c r="B192" s="66" t="s">
        <v>117</v>
      </c>
      <c r="C192" s="66">
        <v>7.4</v>
      </c>
      <c r="D192" s="66" t="s">
        <v>1533</v>
      </c>
      <c r="E192" s="66" t="s">
        <v>363</v>
      </c>
      <c r="F192" s="66"/>
      <c r="G192" s="66"/>
      <c r="H192" s="66" t="s">
        <v>1412</v>
      </c>
      <c r="I192" s="66" t="s">
        <v>1535</v>
      </c>
      <c r="J192" s="66" t="s">
        <v>1536</v>
      </c>
      <c r="K192" s="66">
        <v>4</v>
      </c>
      <c r="L192" s="66">
        <v>32</v>
      </c>
      <c r="M192" s="66"/>
      <c r="N192" s="66"/>
      <c r="O192" s="66" t="s">
        <v>1557</v>
      </c>
      <c r="P192" s="66"/>
      <c r="Q192" s="66"/>
      <c r="R192" s="66"/>
      <c r="S192" s="66" t="s">
        <v>1538</v>
      </c>
      <c r="T192" s="66"/>
      <c r="U192" s="66"/>
      <c r="V192" s="66"/>
      <c r="W192" s="66"/>
      <c r="X192" s="66"/>
      <c r="Y192" s="66"/>
      <c r="Z192" s="66"/>
    </row>
    <row r="193" spans="1:26" ht="99.9" hidden="1" customHeight="1" x14ac:dyDescent="0.3">
      <c r="A193" s="66" t="s">
        <v>1558</v>
      </c>
      <c r="B193" s="66" t="s">
        <v>117</v>
      </c>
      <c r="C193" s="66">
        <v>7.4</v>
      </c>
      <c r="D193" s="66" t="s">
        <v>1533</v>
      </c>
      <c r="E193" s="66" t="s">
        <v>363</v>
      </c>
      <c r="F193" s="66"/>
      <c r="G193" s="66"/>
      <c r="H193" s="66" t="s">
        <v>1412</v>
      </c>
      <c r="I193" s="66" t="s">
        <v>1535</v>
      </c>
      <c r="J193" s="66" t="s">
        <v>1536</v>
      </c>
      <c r="K193" s="66">
        <v>4</v>
      </c>
      <c r="L193" s="66">
        <v>32</v>
      </c>
      <c r="M193" s="66"/>
      <c r="N193" s="66"/>
      <c r="O193" s="66" t="s">
        <v>1559</v>
      </c>
      <c r="P193" s="66"/>
      <c r="Q193" s="66"/>
      <c r="R193" s="66"/>
      <c r="S193" s="66" t="s">
        <v>1538</v>
      </c>
      <c r="T193" s="66"/>
      <c r="U193" s="66"/>
      <c r="V193" s="66"/>
      <c r="W193" s="66"/>
      <c r="X193" s="66"/>
      <c r="Y193" s="66"/>
      <c r="Z193" s="66"/>
    </row>
    <row r="194" spans="1:26" ht="99.9" hidden="1" customHeight="1" x14ac:dyDescent="0.3">
      <c r="A194" s="66" t="s">
        <v>1560</v>
      </c>
      <c r="B194" s="66" t="s">
        <v>117</v>
      </c>
      <c r="C194" s="66">
        <v>7.4</v>
      </c>
      <c r="D194" s="66" t="s">
        <v>1533</v>
      </c>
      <c r="E194" s="66" t="s">
        <v>363</v>
      </c>
      <c r="F194" s="66"/>
      <c r="G194" s="66"/>
      <c r="H194" s="66" t="s">
        <v>1412</v>
      </c>
      <c r="I194" s="66" t="s">
        <v>1535</v>
      </c>
      <c r="J194" s="66" t="s">
        <v>1536</v>
      </c>
      <c r="K194" s="66">
        <v>4</v>
      </c>
      <c r="L194" s="66">
        <v>32</v>
      </c>
      <c r="M194" s="66"/>
      <c r="N194" s="66"/>
      <c r="O194" s="66" t="s">
        <v>1561</v>
      </c>
      <c r="P194" s="66"/>
      <c r="Q194" s="66"/>
      <c r="R194" s="66"/>
      <c r="S194" s="66" t="s">
        <v>1538</v>
      </c>
      <c r="T194" s="66"/>
      <c r="U194" s="66"/>
      <c r="V194" s="66"/>
      <c r="W194" s="66"/>
      <c r="X194" s="66"/>
      <c r="Y194" s="66"/>
      <c r="Z194" s="66"/>
    </row>
    <row r="195" spans="1:26" ht="99.9" hidden="1" customHeight="1" x14ac:dyDescent="0.3">
      <c r="A195" s="66" t="s">
        <v>1562</v>
      </c>
      <c r="B195" s="66" t="s">
        <v>117</v>
      </c>
      <c r="C195" s="66">
        <v>7.4</v>
      </c>
      <c r="D195" s="66" t="s">
        <v>1533</v>
      </c>
      <c r="E195" s="66" t="s">
        <v>363</v>
      </c>
      <c r="F195" s="66"/>
      <c r="G195" s="66"/>
      <c r="H195" s="66" t="s">
        <v>1412</v>
      </c>
      <c r="I195" s="66" t="s">
        <v>1535</v>
      </c>
      <c r="J195" s="66" t="s">
        <v>1536</v>
      </c>
      <c r="K195" s="66">
        <v>4</v>
      </c>
      <c r="L195" s="66">
        <v>32</v>
      </c>
      <c r="M195" s="66"/>
      <c r="N195" s="66"/>
      <c r="O195" s="66" t="s">
        <v>1563</v>
      </c>
      <c r="P195" s="66"/>
      <c r="Q195" s="66"/>
      <c r="R195" s="66"/>
      <c r="S195" s="66" t="s">
        <v>1538</v>
      </c>
      <c r="T195" s="66"/>
      <c r="U195" s="66"/>
      <c r="V195" s="66"/>
      <c r="W195" s="66"/>
      <c r="X195" s="66"/>
      <c r="Y195" s="66"/>
      <c r="Z195" s="66"/>
    </row>
    <row r="196" spans="1:26" ht="99.9" hidden="1" customHeight="1" x14ac:dyDescent="0.3">
      <c r="A196" s="66" t="s">
        <v>1564</v>
      </c>
      <c r="B196" s="66" t="s">
        <v>117</v>
      </c>
      <c r="C196" s="66">
        <v>7.4</v>
      </c>
      <c r="D196" s="66" t="s">
        <v>1533</v>
      </c>
      <c r="E196" s="66" t="s">
        <v>363</v>
      </c>
      <c r="F196" s="66"/>
      <c r="G196" s="66"/>
      <c r="H196" s="66" t="s">
        <v>1412</v>
      </c>
      <c r="I196" s="66" t="s">
        <v>1550</v>
      </c>
      <c r="J196" s="66" t="s">
        <v>1536</v>
      </c>
      <c r="K196" s="66">
        <v>4</v>
      </c>
      <c r="L196" s="66">
        <v>32</v>
      </c>
      <c r="M196" s="66"/>
      <c r="N196" s="66"/>
      <c r="O196" s="66" t="s">
        <v>1565</v>
      </c>
      <c r="P196" s="66"/>
      <c r="Q196" s="66"/>
      <c r="R196" s="66"/>
      <c r="S196" s="66" t="s">
        <v>1538</v>
      </c>
      <c r="T196" s="66"/>
      <c r="U196" s="66"/>
      <c r="V196" s="66"/>
      <c r="W196" s="66"/>
      <c r="X196" s="66"/>
      <c r="Y196" s="66"/>
      <c r="Z196" s="66"/>
    </row>
    <row r="197" spans="1:26" s="1" customFormat="1" ht="19.8" hidden="1" x14ac:dyDescent="0.3">
      <c r="A197" s="49" t="s">
        <v>1566</v>
      </c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1"/>
    </row>
    <row r="198" spans="1:26" ht="99.9" hidden="1" customHeight="1" x14ac:dyDescent="0.3">
      <c r="A198" s="66" t="s">
        <v>1567</v>
      </c>
      <c r="B198" s="66" t="s">
        <v>117</v>
      </c>
      <c r="C198" s="66">
        <v>8.4</v>
      </c>
      <c r="D198" s="66" t="s">
        <v>1566</v>
      </c>
      <c r="E198" s="66" t="s">
        <v>1534</v>
      </c>
      <c r="F198" s="66" t="s">
        <v>1189</v>
      </c>
      <c r="G198" s="66" t="s">
        <v>1090</v>
      </c>
      <c r="H198" s="66" t="s">
        <v>1412</v>
      </c>
      <c r="I198" s="66" t="s">
        <v>1568</v>
      </c>
      <c r="J198" s="66" t="s">
        <v>1569</v>
      </c>
      <c r="K198" s="66">
        <v>4</v>
      </c>
      <c r="L198" s="66">
        <v>16</v>
      </c>
      <c r="M198" s="66" t="s">
        <v>1093</v>
      </c>
      <c r="N198" s="66">
        <v>60</v>
      </c>
      <c r="O198" s="66" t="s">
        <v>1570</v>
      </c>
      <c r="P198" s="66"/>
      <c r="Q198" s="66"/>
      <c r="R198" s="66"/>
      <c r="S198" s="66"/>
      <c r="T198" s="66"/>
      <c r="U198" s="66" t="s">
        <v>1571</v>
      </c>
      <c r="V198" s="66"/>
      <c r="W198" s="66"/>
      <c r="X198" s="66"/>
      <c r="Y198" s="66"/>
      <c r="Z198" s="66"/>
    </row>
    <row r="199" spans="1:26" ht="99.9" hidden="1" customHeight="1" x14ac:dyDescent="0.3">
      <c r="A199" s="66" t="s">
        <v>1572</v>
      </c>
      <c r="B199" s="66" t="s">
        <v>117</v>
      </c>
      <c r="C199" s="66">
        <v>8.4</v>
      </c>
      <c r="D199" s="66" t="s">
        <v>1566</v>
      </c>
      <c r="E199" s="66" t="s">
        <v>1534</v>
      </c>
      <c r="F199" s="66" t="s">
        <v>1189</v>
      </c>
      <c r="G199" s="66" t="s">
        <v>1090</v>
      </c>
      <c r="H199" s="66" t="s">
        <v>1412</v>
      </c>
      <c r="I199" s="66" t="s">
        <v>1568</v>
      </c>
      <c r="J199" s="66" t="s">
        <v>1569</v>
      </c>
      <c r="K199" s="66">
        <v>4</v>
      </c>
      <c r="L199" s="66">
        <v>16</v>
      </c>
      <c r="M199" s="66" t="s">
        <v>1093</v>
      </c>
      <c r="N199" s="66">
        <v>60</v>
      </c>
      <c r="O199" s="66" t="s">
        <v>1573</v>
      </c>
      <c r="P199" s="66"/>
      <c r="Q199" s="66"/>
      <c r="R199" s="66"/>
      <c r="S199" s="66"/>
      <c r="T199" s="66"/>
      <c r="U199" s="66" t="s">
        <v>1574</v>
      </c>
      <c r="V199" s="66"/>
      <c r="W199" s="66"/>
      <c r="X199" s="66"/>
      <c r="Y199" s="66"/>
      <c r="Z199" s="66"/>
    </row>
    <row r="200" spans="1:26" ht="99.9" hidden="1" customHeight="1" x14ac:dyDescent="0.3">
      <c r="A200" s="66" t="s">
        <v>1575</v>
      </c>
      <c r="B200" s="66" t="s">
        <v>117</v>
      </c>
      <c r="C200" s="66">
        <v>8.4</v>
      </c>
      <c r="D200" s="66" t="s">
        <v>1566</v>
      </c>
      <c r="E200" s="66" t="s">
        <v>1534</v>
      </c>
      <c r="F200" s="66" t="s">
        <v>1189</v>
      </c>
      <c r="G200" s="66" t="s">
        <v>1090</v>
      </c>
      <c r="H200" s="66" t="s">
        <v>1412</v>
      </c>
      <c r="I200" s="66" t="s">
        <v>1576</v>
      </c>
      <c r="J200" s="66" t="s">
        <v>1569</v>
      </c>
      <c r="K200" s="66">
        <v>4</v>
      </c>
      <c r="L200" s="66">
        <v>16</v>
      </c>
      <c r="M200" s="66" t="s">
        <v>1093</v>
      </c>
      <c r="N200" s="66">
        <v>60</v>
      </c>
      <c r="O200" s="66" t="s">
        <v>1577</v>
      </c>
      <c r="P200" s="66"/>
      <c r="Q200" s="66"/>
      <c r="R200" s="66"/>
      <c r="S200" s="66"/>
      <c r="T200" s="66"/>
      <c r="U200" s="66" t="s">
        <v>1574</v>
      </c>
      <c r="V200" s="66"/>
      <c r="W200" s="66"/>
      <c r="X200" s="66"/>
      <c r="Y200" s="66"/>
      <c r="Z200" s="66"/>
    </row>
    <row r="201" spans="1:26" ht="99.9" hidden="1" customHeight="1" x14ac:dyDescent="0.3">
      <c r="A201" s="66" t="s">
        <v>1578</v>
      </c>
      <c r="B201" s="66" t="s">
        <v>1579</v>
      </c>
      <c r="C201" s="66">
        <v>15.3</v>
      </c>
      <c r="D201" s="66" t="s">
        <v>1566</v>
      </c>
      <c r="E201" s="66" t="s">
        <v>1534</v>
      </c>
      <c r="F201" s="66" t="s">
        <v>1580</v>
      </c>
      <c r="G201" s="66" t="s">
        <v>1077</v>
      </c>
      <c r="H201" s="66" t="s">
        <v>1581</v>
      </c>
      <c r="I201" s="66" t="s">
        <v>1582</v>
      </c>
      <c r="J201" s="66" t="s">
        <v>1583</v>
      </c>
      <c r="K201" s="66">
        <v>4</v>
      </c>
      <c r="L201" s="66">
        <v>16</v>
      </c>
      <c r="M201" s="66" t="s">
        <v>1093</v>
      </c>
      <c r="N201" s="66"/>
      <c r="O201" s="66" t="s">
        <v>1584</v>
      </c>
      <c r="P201" s="66" t="s">
        <v>1585</v>
      </c>
      <c r="Q201" s="66"/>
      <c r="R201" s="66"/>
      <c r="S201" s="66"/>
      <c r="T201" s="66"/>
      <c r="U201" s="66" t="s">
        <v>1586</v>
      </c>
      <c r="V201" s="66"/>
      <c r="W201" s="66"/>
      <c r="X201" s="66"/>
      <c r="Y201" s="66"/>
      <c r="Z201" s="66"/>
    </row>
    <row r="202" spans="1:26" ht="99.9" hidden="1" customHeight="1" x14ac:dyDescent="0.3">
      <c r="A202" s="66" t="s">
        <v>1587</v>
      </c>
      <c r="B202" s="66" t="s">
        <v>1579</v>
      </c>
      <c r="C202" s="66">
        <v>15.3</v>
      </c>
      <c r="D202" s="66" t="s">
        <v>1566</v>
      </c>
      <c r="E202" s="66" t="s">
        <v>1534</v>
      </c>
      <c r="F202" s="66" t="s">
        <v>1580</v>
      </c>
      <c r="G202" s="66" t="s">
        <v>1077</v>
      </c>
      <c r="H202" s="66" t="s">
        <v>1581</v>
      </c>
      <c r="I202" s="66" t="s">
        <v>1588</v>
      </c>
      <c r="J202" s="66" t="s">
        <v>1589</v>
      </c>
      <c r="K202" s="66">
        <v>4</v>
      </c>
      <c r="L202" s="66">
        <v>16</v>
      </c>
      <c r="M202" s="66" t="s">
        <v>1093</v>
      </c>
      <c r="N202" s="66"/>
      <c r="O202" s="66" t="s">
        <v>1590</v>
      </c>
      <c r="P202" s="66" t="s">
        <v>1591</v>
      </c>
      <c r="Q202" s="66"/>
      <c r="R202" s="66"/>
      <c r="S202" s="66"/>
      <c r="T202" s="66"/>
      <c r="U202" s="66" t="s">
        <v>1592</v>
      </c>
      <c r="V202" s="66"/>
      <c r="W202" s="66"/>
      <c r="X202" s="66"/>
      <c r="Y202" s="66"/>
      <c r="Z202" s="66"/>
    </row>
    <row r="203" spans="1:26" ht="99.9" hidden="1" customHeight="1" x14ac:dyDescent="0.3">
      <c r="A203" s="66" t="s">
        <v>1593</v>
      </c>
      <c r="B203" s="66" t="s">
        <v>1579</v>
      </c>
      <c r="C203" s="66">
        <v>11</v>
      </c>
      <c r="D203" s="66" t="s">
        <v>1566</v>
      </c>
      <c r="E203" s="66" t="s">
        <v>1534</v>
      </c>
      <c r="F203" s="66" t="s">
        <v>1580</v>
      </c>
      <c r="G203" s="66" t="s">
        <v>1077</v>
      </c>
      <c r="H203" s="66" t="s">
        <v>1581</v>
      </c>
      <c r="I203" s="66" t="s">
        <v>1594</v>
      </c>
      <c r="J203" s="66" t="s">
        <v>1595</v>
      </c>
      <c r="K203" s="66">
        <v>4</v>
      </c>
      <c r="L203" s="66">
        <v>16</v>
      </c>
      <c r="M203" s="66" t="s">
        <v>1093</v>
      </c>
      <c r="N203" s="66"/>
      <c r="O203" s="66" t="s">
        <v>1596</v>
      </c>
      <c r="P203" s="66" t="s">
        <v>1585</v>
      </c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99.9" hidden="1" customHeight="1" x14ac:dyDescent="0.3">
      <c r="A204" s="66" t="s">
        <v>1597</v>
      </c>
      <c r="B204" s="66" t="s">
        <v>117</v>
      </c>
      <c r="C204" s="66">
        <v>8.4</v>
      </c>
      <c r="D204" s="66" t="s">
        <v>1566</v>
      </c>
      <c r="E204" s="66" t="s">
        <v>1534</v>
      </c>
      <c r="F204" s="66" t="s">
        <v>1598</v>
      </c>
      <c r="G204" s="66" t="s">
        <v>1090</v>
      </c>
      <c r="H204" s="66" t="s">
        <v>1078</v>
      </c>
      <c r="I204" s="66" t="s">
        <v>1599</v>
      </c>
      <c r="J204" s="66" t="s">
        <v>1092</v>
      </c>
      <c r="K204" s="66">
        <v>4</v>
      </c>
      <c r="L204" s="66">
        <v>8</v>
      </c>
      <c r="M204" s="66" t="s">
        <v>1093</v>
      </c>
      <c r="N204" s="66">
        <v>100</v>
      </c>
      <c r="O204" s="66" t="s">
        <v>1600</v>
      </c>
      <c r="P204" s="66" t="s">
        <v>1392</v>
      </c>
      <c r="Q204" s="66"/>
      <c r="R204" s="66"/>
      <c r="S204" s="66"/>
      <c r="T204" s="66"/>
      <c r="U204" s="66" t="s">
        <v>1601</v>
      </c>
      <c r="V204" s="66"/>
      <c r="W204" s="66"/>
      <c r="X204" s="66"/>
      <c r="Y204" s="66"/>
      <c r="Z204" s="66"/>
    </row>
    <row r="205" spans="1:26" ht="99.9" hidden="1" customHeight="1" x14ac:dyDescent="0.3">
      <c r="A205" s="66" t="s">
        <v>1602</v>
      </c>
      <c r="B205" s="66" t="s">
        <v>117</v>
      </c>
      <c r="C205" s="66">
        <v>8.4</v>
      </c>
      <c r="D205" s="66" t="s">
        <v>1566</v>
      </c>
      <c r="E205" s="66" t="s">
        <v>1534</v>
      </c>
      <c r="F205" s="66" t="s">
        <v>1598</v>
      </c>
      <c r="G205" s="66" t="s">
        <v>1090</v>
      </c>
      <c r="H205" s="66" t="s">
        <v>1078</v>
      </c>
      <c r="I205" s="66" t="s">
        <v>1599</v>
      </c>
      <c r="J205" s="66" t="s">
        <v>1092</v>
      </c>
      <c r="K205" s="66">
        <v>4</v>
      </c>
      <c r="L205" s="66">
        <v>8</v>
      </c>
      <c r="M205" s="66" t="s">
        <v>1093</v>
      </c>
      <c r="N205" s="66">
        <v>100</v>
      </c>
      <c r="O205" s="66" t="s">
        <v>1603</v>
      </c>
      <c r="P205" s="66" t="s">
        <v>1392</v>
      </c>
      <c r="Q205" s="66"/>
      <c r="R205" s="66"/>
      <c r="S205" s="66"/>
      <c r="T205" s="66"/>
      <c r="U205" s="66" t="s">
        <v>1601</v>
      </c>
      <c r="V205" s="66"/>
      <c r="W205" s="66"/>
      <c r="X205" s="66"/>
      <c r="Y205" s="66"/>
      <c r="Z205" s="66"/>
    </row>
    <row r="206" spans="1:26" ht="99.9" hidden="1" customHeight="1" x14ac:dyDescent="0.3">
      <c r="A206" s="66" t="s">
        <v>1604</v>
      </c>
      <c r="B206" s="66" t="s">
        <v>117</v>
      </c>
      <c r="C206" s="66">
        <v>8.4</v>
      </c>
      <c r="D206" s="66" t="s">
        <v>1566</v>
      </c>
      <c r="E206" s="66" t="s">
        <v>1534</v>
      </c>
      <c r="F206" s="66" t="s">
        <v>1598</v>
      </c>
      <c r="G206" s="66" t="s">
        <v>1090</v>
      </c>
      <c r="H206" s="66" t="s">
        <v>1078</v>
      </c>
      <c r="I206" s="66" t="s">
        <v>1599</v>
      </c>
      <c r="J206" s="66" t="s">
        <v>1092</v>
      </c>
      <c r="K206" s="66">
        <v>4</v>
      </c>
      <c r="L206" s="66">
        <v>8</v>
      </c>
      <c r="M206" s="66" t="s">
        <v>1093</v>
      </c>
      <c r="N206" s="66">
        <v>100</v>
      </c>
      <c r="O206" s="66" t="s">
        <v>1605</v>
      </c>
      <c r="P206" s="66" t="s">
        <v>1392</v>
      </c>
      <c r="Q206" s="66"/>
      <c r="R206" s="66"/>
      <c r="S206" s="66"/>
      <c r="T206" s="66"/>
      <c r="U206" s="66" t="s">
        <v>1601</v>
      </c>
      <c r="V206" s="66"/>
      <c r="W206" s="66"/>
      <c r="X206" s="66"/>
      <c r="Y206" s="66"/>
      <c r="Z206" s="66"/>
    </row>
    <row r="207" spans="1:26" ht="99.9" hidden="1" customHeight="1" x14ac:dyDescent="0.3">
      <c r="A207" s="66" t="s">
        <v>1606</v>
      </c>
      <c r="B207" s="66" t="s">
        <v>117</v>
      </c>
      <c r="C207" s="66">
        <v>8.4</v>
      </c>
      <c r="D207" s="66" t="s">
        <v>1566</v>
      </c>
      <c r="E207" s="66" t="s">
        <v>1534</v>
      </c>
      <c r="F207" s="66" t="s">
        <v>1598</v>
      </c>
      <c r="G207" s="66" t="s">
        <v>1090</v>
      </c>
      <c r="H207" s="66" t="s">
        <v>1078</v>
      </c>
      <c r="I207" s="66" t="s">
        <v>1599</v>
      </c>
      <c r="J207" s="66" t="s">
        <v>1092</v>
      </c>
      <c r="K207" s="66">
        <v>4</v>
      </c>
      <c r="L207" s="66">
        <v>8</v>
      </c>
      <c r="M207" s="66" t="s">
        <v>1093</v>
      </c>
      <c r="N207" s="66">
        <v>100</v>
      </c>
      <c r="O207" s="66" t="s">
        <v>1607</v>
      </c>
      <c r="P207" s="66" t="s">
        <v>1392</v>
      </c>
      <c r="Q207" s="66"/>
      <c r="R207" s="66"/>
      <c r="S207" s="66"/>
      <c r="T207" s="66"/>
      <c r="U207" s="66" t="s">
        <v>1601</v>
      </c>
      <c r="V207" s="66"/>
      <c r="W207" s="66"/>
      <c r="X207" s="66"/>
      <c r="Y207" s="66"/>
      <c r="Z207" s="66"/>
    </row>
    <row r="208" spans="1:26" ht="99.9" hidden="1" customHeight="1" x14ac:dyDescent="0.3">
      <c r="A208" s="66" t="s">
        <v>1608</v>
      </c>
      <c r="B208" s="66" t="s">
        <v>117</v>
      </c>
      <c r="C208" s="66">
        <v>8.4</v>
      </c>
      <c r="D208" s="66" t="s">
        <v>1566</v>
      </c>
      <c r="E208" s="66" t="s">
        <v>363</v>
      </c>
      <c r="F208" s="66" t="s">
        <v>1609</v>
      </c>
      <c r="G208" s="66" t="s">
        <v>1077</v>
      </c>
      <c r="H208" s="66" t="s">
        <v>1078</v>
      </c>
      <c r="I208" s="66" t="s">
        <v>1610</v>
      </c>
      <c r="J208" s="66" t="s">
        <v>1080</v>
      </c>
      <c r="K208" s="66">
        <v>2</v>
      </c>
      <c r="L208" s="66">
        <v>8</v>
      </c>
      <c r="M208" s="66" t="s">
        <v>1081</v>
      </c>
      <c r="N208" s="66"/>
      <c r="O208" s="66" t="s">
        <v>1611</v>
      </c>
      <c r="P208" s="66"/>
      <c r="Q208" s="66"/>
      <c r="R208" s="66"/>
      <c r="S208" s="66"/>
      <c r="T208" s="66"/>
      <c r="U208" s="66" t="s">
        <v>1612</v>
      </c>
      <c r="V208" s="66"/>
      <c r="W208" s="66"/>
      <c r="X208" s="66"/>
      <c r="Y208" s="66"/>
      <c r="Z208" s="66"/>
    </row>
    <row r="209" spans="1:26" ht="99.9" customHeight="1" x14ac:dyDescent="0.3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99.9" customHeight="1" x14ac:dyDescent="0.3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99.9" customHeight="1" x14ac:dyDescent="0.3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99.9" customHeight="1" x14ac:dyDescent="0.3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99.9" customHeight="1" x14ac:dyDescent="0.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99.9" customHeight="1" x14ac:dyDescent="0.3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99.9" customHeight="1" x14ac:dyDescent="0.3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99.9" customHeight="1" x14ac:dyDescent="0.3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99.9" customHeight="1" x14ac:dyDescent="0.3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99.9" customHeight="1" x14ac:dyDescent="0.3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99.9" hidden="1" customHeight="1" x14ac:dyDescent="0.3">
      <c r="A219" s="66" t="s">
        <v>1613</v>
      </c>
      <c r="B219" s="66" t="s">
        <v>117</v>
      </c>
      <c r="C219" s="66">
        <v>8.4</v>
      </c>
      <c r="D219" s="66" t="s">
        <v>1074</v>
      </c>
      <c r="E219" s="66" t="s">
        <v>363</v>
      </c>
      <c r="F219" s="66"/>
      <c r="G219" s="66" t="s">
        <v>1090</v>
      </c>
      <c r="H219" s="66" t="s">
        <v>1078</v>
      </c>
      <c r="I219" s="66" t="s">
        <v>1614</v>
      </c>
      <c r="J219" s="66" t="s">
        <v>1080</v>
      </c>
      <c r="K219" s="66">
        <v>4</v>
      </c>
      <c r="L219" s="66">
        <v>16</v>
      </c>
      <c r="M219" s="66" t="s">
        <v>1093</v>
      </c>
      <c r="N219" s="66">
        <v>500</v>
      </c>
      <c r="O219" s="66" t="s">
        <v>1615</v>
      </c>
      <c r="P219" s="66" t="s">
        <v>1409</v>
      </c>
      <c r="Q219" s="66"/>
      <c r="R219" s="66"/>
      <c r="S219" s="66"/>
      <c r="T219" s="66"/>
      <c r="U219" s="66" t="s">
        <v>1612</v>
      </c>
      <c r="V219" s="66"/>
      <c r="W219" s="66"/>
      <c r="X219" s="66"/>
      <c r="Y219" s="66"/>
      <c r="Z219" s="66"/>
    </row>
    <row r="220" spans="1:26" ht="99.9" hidden="1" customHeight="1" x14ac:dyDescent="0.3">
      <c r="A220" s="66" t="s">
        <v>1616</v>
      </c>
      <c r="B220" s="66" t="s">
        <v>117</v>
      </c>
      <c r="C220" s="66">
        <v>8.4</v>
      </c>
      <c r="D220" s="66" t="s">
        <v>1566</v>
      </c>
      <c r="E220" s="66" t="s">
        <v>363</v>
      </c>
      <c r="F220" s="66" t="s">
        <v>1089</v>
      </c>
      <c r="G220" s="66" t="s">
        <v>1090</v>
      </c>
      <c r="H220" s="66" t="s">
        <v>1078</v>
      </c>
      <c r="I220" s="66" t="s">
        <v>1091</v>
      </c>
      <c r="J220" s="66" t="s">
        <v>1092</v>
      </c>
      <c r="K220" s="66">
        <v>8</v>
      </c>
      <c r="L220" s="66">
        <v>16</v>
      </c>
      <c r="M220" s="66" t="s">
        <v>1093</v>
      </c>
      <c r="N220" s="66">
        <v>100</v>
      </c>
      <c r="O220" s="66" t="s">
        <v>1617</v>
      </c>
      <c r="P220" s="66" t="s">
        <v>1095</v>
      </c>
      <c r="Q220" s="66"/>
      <c r="R220" s="66"/>
      <c r="S220" s="66"/>
      <c r="T220" s="66"/>
      <c r="U220" s="66" t="s">
        <v>1601</v>
      </c>
      <c r="V220" s="66"/>
      <c r="W220" s="66"/>
      <c r="X220" s="66"/>
      <c r="Y220" s="66"/>
      <c r="Z220" s="66"/>
    </row>
    <row r="221" spans="1:26" ht="99.9" hidden="1" customHeight="1" x14ac:dyDescent="0.3">
      <c r="A221" s="66" t="s">
        <v>1618</v>
      </c>
      <c r="B221" s="66" t="s">
        <v>117</v>
      </c>
      <c r="C221" s="66">
        <v>8.4</v>
      </c>
      <c r="D221" s="66" t="s">
        <v>1566</v>
      </c>
      <c r="E221" s="66" t="s">
        <v>363</v>
      </c>
      <c r="F221" s="66" t="s">
        <v>1089</v>
      </c>
      <c r="G221" s="66" t="s">
        <v>1090</v>
      </c>
      <c r="H221" s="66" t="s">
        <v>1078</v>
      </c>
      <c r="I221" s="66" t="s">
        <v>1091</v>
      </c>
      <c r="J221" s="66" t="s">
        <v>1092</v>
      </c>
      <c r="K221" s="66">
        <v>8</v>
      </c>
      <c r="L221" s="66">
        <v>16</v>
      </c>
      <c r="M221" s="66" t="s">
        <v>1093</v>
      </c>
      <c r="N221" s="66">
        <v>100</v>
      </c>
      <c r="O221" s="66" t="s">
        <v>1619</v>
      </c>
      <c r="P221" s="66" t="s">
        <v>1095</v>
      </c>
      <c r="Q221" s="66"/>
      <c r="R221" s="66"/>
      <c r="S221" s="66"/>
      <c r="T221" s="66"/>
      <c r="U221" s="66" t="s">
        <v>1601</v>
      </c>
      <c r="V221" s="66"/>
      <c r="W221" s="66"/>
      <c r="X221" s="66"/>
      <c r="Y221" s="66"/>
      <c r="Z221" s="66"/>
    </row>
    <row r="222" spans="1:26" ht="99.9" hidden="1" customHeight="1" x14ac:dyDescent="0.3">
      <c r="A222" s="66" t="s">
        <v>1620</v>
      </c>
      <c r="B222" s="66" t="s">
        <v>117</v>
      </c>
      <c r="C222" s="66">
        <v>8.4</v>
      </c>
      <c r="D222" s="66" t="s">
        <v>1566</v>
      </c>
      <c r="E222" s="66" t="s">
        <v>363</v>
      </c>
      <c r="F222" s="66" t="s">
        <v>1089</v>
      </c>
      <c r="G222" s="66" t="s">
        <v>1090</v>
      </c>
      <c r="H222" s="66" t="s">
        <v>1078</v>
      </c>
      <c r="I222" s="66" t="s">
        <v>1091</v>
      </c>
      <c r="J222" s="66" t="s">
        <v>1092</v>
      </c>
      <c r="K222" s="66">
        <v>8</v>
      </c>
      <c r="L222" s="66">
        <v>16</v>
      </c>
      <c r="M222" s="66" t="s">
        <v>1093</v>
      </c>
      <c r="N222" s="66">
        <v>100</v>
      </c>
      <c r="O222" s="66" t="s">
        <v>1621</v>
      </c>
      <c r="P222" s="66" t="s">
        <v>1095</v>
      </c>
      <c r="Q222" s="66"/>
      <c r="R222" s="66"/>
      <c r="S222" s="66"/>
      <c r="T222" s="66"/>
      <c r="U222" s="66" t="s">
        <v>1601</v>
      </c>
      <c r="V222" s="66"/>
      <c r="W222" s="66"/>
      <c r="X222" s="66"/>
      <c r="Y222" s="66"/>
      <c r="Z222" s="66"/>
    </row>
    <row r="223" spans="1:26" ht="99.9" hidden="1" customHeight="1" x14ac:dyDescent="0.3">
      <c r="A223" s="66" t="s">
        <v>1622</v>
      </c>
      <c r="B223" s="66" t="s">
        <v>117</v>
      </c>
      <c r="C223" s="66">
        <v>8.4</v>
      </c>
      <c r="D223" s="66" t="s">
        <v>1566</v>
      </c>
      <c r="E223" s="66" t="s">
        <v>363</v>
      </c>
      <c r="F223" s="66" t="s">
        <v>1089</v>
      </c>
      <c r="G223" s="66" t="s">
        <v>1090</v>
      </c>
      <c r="H223" s="66" t="s">
        <v>1078</v>
      </c>
      <c r="I223" s="66" t="s">
        <v>1091</v>
      </c>
      <c r="J223" s="66" t="s">
        <v>1092</v>
      </c>
      <c r="K223" s="66">
        <v>8</v>
      </c>
      <c r="L223" s="66">
        <v>16</v>
      </c>
      <c r="M223" s="66" t="s">
        <v>1093</v>
      </c>
      <c r="N223" s="66">
        <v>100</v>
      </c>
      <c r="O223" s="66" t="s">
        <v>1623</v>
      </c>
      <c r="P223" s="66" t="s">
        <v>1095</v>
      </c>
      <c r="Q223" s="66"/>
      <c r="R223" s="66"/>
      <c r="S223" s="66"/>
      <c r="T223" s="66"/>
      <c r="U223" s="66" t="s">
        <v>1601</v>
      </c>
      <c r="V223" s="66"/>
      <c r="W223" s="66"/>
      <c r="X223" s="66"/>
      <c r="Y223" s="66"/>
      <c r="Z223" s="66"/>
    </row>
    <row r="224" spans="1:26" ht="99.9" hidden="1" customHeight="1" x14ac:dyDescent="0.3">
      <c r="A224" s="66" t="s">
        <v>1624</v>
      </c>
      <c r="B224" s="66" t="s">
        <v>117</v>
      </c>
      <c r="C224" s="66">
        <v>8.4</v>
      </c>
      <c r="D224" s="66" t="s">
        <v>1566</v>
      </c>
      <c r="E224" s="66" t="s">
        <v>363</v>
      </c>
      <c r="F224" s="66" t="s">
        <v>1089</v>
      </c>
      <c r="G224" s="66" t="s">
        <v>1090</v>
      </c>
      <c r="H224" s="66" t="s">
        <v>1078</v>
      </c>
      <c r="I224" s="66" t="s">
        <v>1091</v>
      </c>
      <c r="J224" s="66" t="s">
        <v>1092</v>
      </c>
      <c r="K224" s="66">
        <v>8</v>
      </c>
      <c r="L224" s="66">
        <v>16</v>
      </c>
      <c r="M224" s="66" t="s">
        <v>1093</v>
      </c>
      <c r="N224" s="66">
        <v>100</v>
      </c>
      <c r="O224" s="66" t="s">
        <v>1625</v>
      </c>
      <c r="P224" s="66" t="s">
        <v>1095</v>
      </c>
      <c r="Q224" s="66"/>
      <c r="R224" s="66"/>
      <c r="S224" s="66"/>
      <c r="T224" s="66"/>
      <c r="U224" s="66" t="s">
        <v>1601</v>
      </c>
      <c r="V224" s="66"/>
      <c r="W224" s="66"/>
      <c r="X224" s="66"/>
      <c r="Y224" s="66"/>
      <c r="Z224" s="66"/>
    </row>
    <row r="225" spans="1:26" ht="99.9" hidden="1" customHeight="1" x14ac:dyDescent="0.3">
      <c r="A225" s="66" t="s">
        <v>1626</v>
      </c>
      <c r="B225" s="66" t="s">
        <v>117</v>
      </c>
      <c r="C225" s="66">
        <v>8.4</v>
      </c>
      <c r="D225" s="66" t="s">
        <v>1566</v>
      </c>
      <c r="E225" s="66" t="s">
        <v>363</v>
      </c>
      <c r="F225" s="66" t="s">
        <v>1089</v>
      </c>
      <c r="G225" s="66" t="s">
        <v>1090</v>
      </c>
      <c r="H225" s="66" t="s">
        <v>1078</v>
      </c>
      <c r="I225" s="66" t="s">
        <v>1091</v>
      </c>
      <c r="J225" s="66" t="s">
        <v>1092</v>
      </c>
      <c r="K225" s="66">
        <v>8</v>
      </c>
      <c r="L225" s="66">
        <v>16</v>
      </c>
      <c r="M225" s="66" t="s">
        <v>1093</v>
      </c>
      <c r="N225" s="66">
        <v>100</v>
      </c>
      <c r="O225" s="66" t="s">
        <v>1627</v>
      </c>
      <c r="P225" s="66" t="s">
        <v>1095</v>
      </c>
      <c r="Q225" s="66"/>
      <c r="R225" s="66"/>
      <c r="S225" s="66"/>
      <c r="T225" s="66"/>
      <c r="U225" s="66" t="s">
        <v>1601</v>
      </c>
      <c r="V225" s="66"/>
      <c r="W225" s="66"/>
      <c r="X225" s="66"/>
      <c r="Y225" s="66"/>
      <c r="Z225" s="66"/>
    </row>
    <row r="226" spans="1:26" ht="99.9" hidden="1" customHeight="1" x14ac:dyDescent="0.3">
      <c r="A226" s="66" t="s">
        <v>1628</v>
      </c>
      <c r="B226" s="66" t="s">
        <v>117</v>
      </c>
      <c r="C226" s="66">
        <v>8.4</v>
      </c>
      <c r="D226" s="66" t="s">
        <v>1566</v>
      </c>
      <c r="E226" s="66" t="s">
        <v>363</v>
      </c>
      <c r="F226" s="66" t="s">
        <v>1089</v>
      </c>
      <c r="G226" s="66" t="s">
        <v>1090</v>
      </c>
      <c r="H226" s="66" t="s">
        <v>1078</v>
      </c>
      <c r="I226" s="66" t="s">
        <v>1091</v>
      </c>
      <c r="J226" s="66" t="s">
        <v>1092</v>
      </c>
      <c r="K226" s="66">
        <v>8</v>
      </c>
      <c r="L226" s="66">
        <v>16</v>
      </c>
      <c r="M226" s="66" t="s">
        <v>1093</v>
      </c>
      <c r="N226" s="66">
        <v>100</v>
      </c>
      <c r="O226" s="66" t="s">
        <v>1629</v>
      </c>
      <c r="P226" s="66" t="s">
        <v>1095</v>
      </c>
      <c r="Q226" s="66"/>
      <c r="R226" s="66"/>
      <c r="S226" s="66"/>
      <c r="T226" s="66"/>
      <c r="U226" s="66" t="s">
        <v>1601</v>
      </c>
      <c r="V226" s="66"/>
      <c r="W226" s="66"/>
      <c r="X226" s="66"/>
      <c r="Y226" s="66"/>
      <c r="Z226" s="66"/>
    </row>
    <row r="227" spans="1:26" ht="99.9" hidden="1" customHeight="1" x14ac:dyDescent="0.3">
      <c r="A227" s="66" t="s">
        <v>1630</v>
      </c>
      <c r="B227" s="66" t="s">
        <v>117</v>
      </c>
      <c r="C227" s="66">
        <v>8.4</v>
      </c>
      <c r="D227" s="66" t="s">
        <v>1566</v>
      </c>
      <c r="E227" s="66" t="s">
        <v>363</v>
      </c>
      <c r="F227" s="66" t="s">
        <v>1089</v>
      </c>
      <c r="G227" s="66" t="s">
        <v>1090</v>
      </c>
      <c r="H227" s="66" t="s">
        <v>1078</v>
      </c>
      <c r="I227" s="66" t="s">
        <v>1091</v>
      </c>
      <c r="J227" s="66" t="s">
        <v>1092</v>
      </c>
      <c r="K227" s="66">
        <v>8</v>
      </c>
      <c r="L227" s="66">
        <v>16</v>
      </c>
      <c r="M227" s="66" t="s">
        <v>1093</v>
      </c>
      <c r="N227" s="66">
        <v>100</v>
      </c>
      <c r="O227" s="66" t="s">
        <v>1631</v>
      </c>
      <c r="P227" s="66" t="s">
        <v>1095</v>
      </c>
      <c r="Q227" s="66"/>
      <c r="R227" s="66"/>
      <c r="S227" s="66"/>
      <c r="T227" s="66"/>
      <c r="U227" s="66" t="s">
        <v>1601</v>
      </c>
      <c r="V227" s="66"/>
      <c r="W227" s="66"/>
      <c r="X227" s="66"/>
      <c r="Y227" s="66"/>
      <c r="Z227" s="66"/>
    </row>
    <row r="228" spans="1:26" ht="99.9" hidden="1" customHeight="1" x14ac:dyDescent="0.3">
      <c r="A228" s="66" t="s">
        <v>1632</v>
      </c>
      <c r="B228" s="66" t="s">
        <v>117</v>
      </c>
      <c r="C228" s="66">
        <v>8.4</v>
      </c>
      <c r="D228" s="66" t="s">
        <v>1566</v>
      </c>
      <c r="E228" s="66" t="s">
        <v>363</v>
      </c>
      <c r="F228" s="66" t="s">
        <v>1117</v>
      </c>
      <c r="G228" s="66" t="s">
        <v>1090</v>
      </c>
      <c r="H228" s="66" t="s">
        <v>1118</v>
      </c>
      <c r="I228" s="66" t="s">
        <v>1119</v>
      </c>
      <c r="J228" s="66" t="s">
        <v>1120</v>
      </c>
      <c r="K228" s="66">
        <v>8</v>
      </c>
      <c r="L228" s="66">
        <v>64</v>
      </c>
      <c r="M228" s="66" t="s">
        <v>1093</v>
      </c>
      <c r="N228" s="66">
        <v>300</v>
      </c>
      <c r="O228" s="66" t="s">
        <v>1633</v>
      </c>
      <c r="P228" s="66" t="s">
        <v>1122</v>
      </c>
      <c r="Q228" s="66" t="s">
        <v>1634</v>
      </c>
      <c r="R228" s="66" t="s">
        <v>1124</v>
      </c>
      <c r="S228" s="66"/>
      <c r="T228" s="66"/>
      <c r="U228" s="66" t="s">
        <v>1125</v>
      </c>
      <c r="V228" s="66"/>
      <c r="W228" s="66"/>
      <c r="X228" s="66"/>
      <c r="Y228" s="66"/>
      <c r="Z228" s="66"/>
    </row>
    <row r="229" spans="1:26" ht="99.9" hidden="1" customHeight="1" x14ac:dyDescent="0.3">
      <c r="A229" s="66" t="s">
        <v>1635</v>
      </c>
      <c r="B229" s="66" t="s">
        <v>117</v>
      </c>
      <c r="C229" s="66">
        <v>8.4</v>
      </c>
      <c r="D229" s="66" t="s">
        <v>1566</v>
      </c>
      <c r="E229" s="66" t="s">
        <v>363</v>
      </c>
      <c r="F229" s="66" t="s">
        <v>1117</v>
      </c>
      <c r="G229" s="66" t="s">
        <v>1090</v>
      </c>
      <c r="H229" s="66" t="s">
        <v>1118</v>
      </c>
      <c r="I229" s="66" t="s">
        <v>1119</v>
      </c>
      <c r="J229" s="66" t="s">
        <v>1120</v>
      </c>
      <c r="K229" s="66">
        <v>8</v>
      </c>
      <c r="L229" s="66">
        <v>64</v>
      </c>
      <c r="M229" s="66" t="s">
        <v>1093</v>
      </c>
      <c r="N229" s="66">
        <v>300</v>
      </c>
      <c r="O229" s="66" t="s">
        <v>1636</v>
      </c>
      <c r="P229" s="66" t="s">
        <v>1122</v>
      </c>
      <c r="Q229" s="66" t="s">
        <v>1634</v>
      </c>
      <c r="R229" s="66" t="s">
        <v>1124</v>
      </c>
      <c r="S229" s="66"/>
      <c r="T229" s="66"/>
      <c r="U229" s="66" t="s">
        <v>1125</v>
      </c>
      <c r="V229" s="66"/>
      <c r="W229" s="66"/>
      <c r="X229" s="66"/>
      <c r="Y229" s="66"/>
      <c r="Z229" s="66"/>
    </row>
    <row r="230" spans="1:26" ht="99.9" hidden="1" customHeight="1" x14ac:dyDescent="0.3">
      <c r="A230" s="66" t="s">
        <v>1637</v>
      </c>
      <c r="B230" s="66" t="s">
        <v>117</v>
      </c>
      <c r="C230" s="66">
        <v>8.4</v>
      </c>
      <c r="D230" s="66" t="s">
        <v>1566</v>
      </c>
      <c r="E230" s="66" t="s">
        <v>363</v>
      </c>
      <c r="F230" s="66" t="s">
        <v>1117</v>
      </c>
      <c r="G230" s="66" t="s">
        <v>1090</v>
      </c>
      <c r="H230" s="66" t="s">
        <v>1118</v>
      </c>
      <c r="I230" s="66" t="s">
        <v>1119</v>
      </c>
      <c r="J230" s="66" t="s">
        <v>1120</v>
      </c>
      <c r="K230" s="66">
        <v>8</v>
      </c>
      <c r="L230" s="66">
        <v>64</v>
      </c>
      <c r="M230" s="66" t="s">
        <v>1093</v>
      </c>
      <c r="N230" s="66">
        <v>300</v>
      </c>
      <c r="O230" s="66" t="s">
        <v>1638</v>
      </c>
      <c r="P230" s="66" t="s">
        <v>1122</v>
      </c>
      <c r="Q230" s="66" t="s">
        <v>1634</v>
      </c>
      <c r="R230" s="66" t="s">
        <v>1124</v>
      </c>
      <c r="S230" s="66"/>
      <c r="T230" s="66"/>
      <c r="U230" s="66" t="s">
        <v>1125</v>
      </c>
      <c r="V230" s="66"/>
      <c r="W230" s="66"/>
      <c r="X230" s="66"/>
      <c r="Y230" s="66"/>
      <c r="Z230" s="66"/>
    </row>
    <row r="231" spans="1:26" ht="99.9" hidden="1" customHeight="1" x14ac:dyDescent="0.3">
      <c r="A231" s="66" t="s">
        <v>1639</v>
      </c>
      <c r="B231" s="66" t="s">
        <v>117</v>
      </c>
      <c r="C231" s="66">
        <v>8.4</v>
      </c>
      <c r="D231" s="66" t="s">
        <v>1566</v>
      </c>
      <c r="E231" s="66" t="s">
        <v>363</v>
      </c>
      <c r="F231" s="66" t="s">
        <v>1135</v>
      </c>
      <c r="G231" s="66" t="s">
        <v>1090</v>
      </c>
      <c r="H231" s="66" t="s">
        <v>1136</v>
      </c>
      <c r="I231" s="66" t="s">
        <v>1137</v>
      </c>
      <c r="J231" s="66"/>
      <c r="K231" s="66">
        <v>8</v>
      </c>
      <c r="L231" s="66">
        <v>32</v>
      </c>
      <c r="M231" s="66" t="s">
        <v>1093</v>
      </c>
      <c r="N231" s="66">
        <v>100</v>
      </c>
      <c r="O231" s="66" t="s">
        <v>1640</v>
      </c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99.9" hidden="1" customHeight="1" x14ac:dyDescent="0.3">
      <c r="A232" s="66" t="s">
        <v>1641</v>
      </c>
      <c r="B232" s="66" t="s">
        <v>117</v>
      </c>
      <c r="C232" s="66">
        <v>8.4</v>
      </c>
      <c r="D232" s="66" t="s">
        <v>1566</v>
      </c>
      <c r="E232" s="66" t="s">
        <v>363</v>
      </c>
      <c r="F232" s="66" t="s">
        <v>1141</v>
      </c>
      <c r="G232" s="66" t="s">
        <v>1090</v>
      </c>
      <c r="H232" s="66" t="s">
        <v>1142</v>
      </c>
      <c r="I232" s="66" t="s">
        <v>1642</v>
      </c>
      <c r="J232" s="66"/>
      <c r="K232" s="66">
        <v>4</v>
      </c>
      <c r="L232" s="66">
        <v>16</v>
      </c>
      <c r="M232" s="66" t="s">
        <v>1093</v>
      </c>
      <c r="N232" s="66">
        <v>100</v>
      </c>
      <c r="O232" s="66" t="s">
        <v>1643</v>
      </c>
      <c r="P232" s="66"/>
      <c r="Q232" s="66"/>
      <c r="R232" s="66" t="s">
        <v>1145</v>
      </c>
      <c r="S232" s="66"/>
      <c r="T232" s="66"/>
      <c r="U232" s="66"/>
      <c r="V232" s="66"/>
      <c r="W232" s="66"/>
      <c r="X232" s="66"/>
      <c r="Y232" s="66"/>
      <c r="Z232" s="66"/>
    </row>
    <row r="233" spans="1:26" ht="99.9" hidden="1" customHeight="1" x14ac:dyDescent="0.3">
      <c r="A233" s="66" t="s">
        <v>1644</v>
      </c>
      <c r="B233" s="66" t="s">
        <v>117</v>
      </c>
      <c r="C233" s="66">
        <v>8.4</v>
      </c>
      <c r="D233" s="66" t="s">
        <v>1566</v>
      </c>
      <c r="E233" s="66" t="s">
        <v>363</v>
      </c>
      <c r="F233" s="66" t="s">
        <v>1141</v>
      </c>
      <c r="G233" s="66" t="s">
        <v>1090</v>
      </c>
      <c r="H233" s="66" t="s">
        <v>1142</v>
      </c>
      <c r="I233" s="66" t="s">
        <v>1645</v>
      </c>
      <c r="J233" s="66"/>
      <c r="K233" s="66">
        <v>4</v>
      </c>
      <c r="L233" s="66">
        <v>16</v>
      </c>
      <c r="M233" s="66" t="s">
        <v>1093</v>
      </c>
      <c r="N233" s="66">
        <v>100</v>
      </c>
      <c r="O233" s="66" t="s">
        <v>1646</v>
      </c>
      <c r="P233" s="66"/>
      <c r="Q233" s="66"/>
      <c r="R233" s="66" t="s">
        <v>1145</v>
      </c>
      <c r="S233" s="66"/>
      <c r="T233" s="66"/>
      <c r="U233" s="66"/>
      <c r="V233" s="66"/>
      <c r="W233" s="66"/>
      <c r="X233" s="66"/>
      <c r="Y233" s="66"/>
      <c r="Z233" s="66"/>
    </row>
    <row r="234" spans="1:26" ht="99.9" hidden="1" customHeight="1" x14ac:dyDescent="0.3">
      <c r="A234" s="66" t="s">
        <v>1647</v>
      </c>
      <c r="B234" s="66" t="s">
        <v>117</v>
      </c>
      <c r="C234" s="66">
        <v>8.4</v>
      </c>
      <c r="D234" s="66" t="s">
        <v>1566</v>
      </c>
      <c r="E234" s="66" t="s">
        <v>363</v>
      </c>
      <c r="F234" s="66" t="s">
        <v>1141</v>
      </c>
      <c r="G234" s="66" t="s">
        <v>1090</v>
      </c>
      <c r="H234" s="66" t="s">
        <v>1142</v>
      </c>
      <c r="I234" s="66" t="s">
        <v>1648</v>
      </c>
      <c r="J234" s="66"/>
      <c r="K234" s="66">
        <v>4</v>
      </c>
      <c r="L234" s="66">
        <v>16</v>
      </c>
      <c r="M234" s="66" t="s">
        <v>1093</v>
      </c>
      <c r="N234" s="66">
        <v>100</v>
      </c>
      <c r="O234" s="66" t="s">
        <v>1649</v>
      </c>
      <c r="P234" s="66"/>
      <c r="Q234" s="66"/>
      <c r="R234" s="66" t="s">
        <v>1145</v>
      </c>
      <c r="S234" s="66"/>
      <c r="T234" s="66"/>
      <c r="U234" s="66"/>
      <c r="V234" s="66"/>
      <c r="W234" s="66"/>
      <c r="X234" s="66"/>
      <c r="Y234" s="66"/>
      <c r="Z234" s="66"/>
    </row>
    <row r="235" spans="1:26" ht="99.9" hidden="1" customHeight="1" x14ac:dyDescent="0.3">
      <c r="A235" s="66" t="s">
        <v>1650</v>
      </c>
      <c r="B235" s="66" t="s">
        <v>117</v>
      </c>
      <c r="C235" s="66">
        <v>8.4</v>
      </c>
      <c r="D235" s="66" t="s">
        <v>1566</v>
      </c>
      <c r="E235" s="66" t="s">
        <v>363</v>
      </c>
      <c r="F235" s="66" t="s">
        <v>1141</v>
      </c>
      <c r="G235" s="66" t="s">
        <v>1090</v>
      </c>
      <c r="H235" s="66" t="s">
        <v>1142</v>
      </c>
      <c r="I235" s="66" t="s">
        <v>1651</v>
      </c>
      <c r="J235" s="66"/>
      <c r="K235" s="66">
        <v>4</v>
      </c>
      <c r="L235" s="66">
        <v>16</v>
      </c>
      <c r="M235" s="66" t="s">
        <v>1093</v>
      </c>
      <c r="N235" s="66">
        <v>100</v>
      </c>
      <c r="O235" s="66" t="s">
        <v>1652</v>
      </c>
      <c r="P235" s="66"/>
      <c r="Q235" s="66"/>
      <c r="R235" s="66" t="s">
        <v>1145</v>
      </c>
      <c r="S235" s="66"/>
      <c r="T235" s="66"/>
      <c r="U235" s="66"/>
      <c r="V235" s="66"/>
      <c r="W235" s="66"/>
      <c r="X235" s="66"/>
      <c r="Y235" s="66"/>
      <c r="Z235" s="66"/>
    </row>
    <row r="236" spans="1:26" ht="99.9" hidden="1" customHeight="1" x14ac:dyDescent="0.3">
      <c r="A236" s="66" t="s">
        <v>1653</v>
      </c>
      <c r="B236" s="66" t="s">
        <v>117</v>
      </c>
      <c r="C236" s="66">
        <v>8.4</v>
      </c>
      <c r="D236" s="66" t="s">
        <v>1566</v>
      </c>
      <c r="E236" s="66" t="s">
        <v>363</v>
      </c>
      <c r="F236" s="66" t="s">
        <v>1135</v>
      </c>
      <c r="G236" s="66" t="s">
        <v>1090</v>
      </c>
      <c r="H236" s="66" t="s">
        <v>1169</v>
      </c>
      <c r="I236" s="66" t="s">
        <v>1654</v>
      </c>
      <c r="J236" s="66" t="s">
        <v>1171</v>
      </c>
      <c r="K236" s="66">
        <v>4</v>
      </c>
      <c r="L236" s="66">
        <v>32</v>
      </c>
      <c r="M236" s="66" t="s">
        <v>1093</v>
      </c>
      <c r="N236" s="66"/>
      <c r="O236" s="66" t="s">
        <v>1655</v>
      </c>
      <c r="P236" s="66" t="s">
        <v>1173</v>
      </c>
      <c r="Q236" s="66"/>
      <c r="R236" s="66"/>
      <c r="S236" s="66"/>
      <c r="T236" s="66"/>
      <c r="U236" s="66" t="s">
        <v>1656</v>
      </c>
      <c r="V236" s="66"/>
      <c r="W236" s="66"/>
      <c r="X236" s="66"/>
      <c r="Y236" s="66"/>
      <c r="Z236" s="66"/>
    </row>
    <row r="237" spans="1:26" ht="99.9" hidden="1" customHeight="1" x14ac:dyDescent="0.3">
      <c r="A237" s="66" t="s">
        <v>1657</v>
      </c>
      <c r="B237" s="66" t="s">
        <v>117</v>
      </c>
      <c r="C237" s="66">
        <v>8.4</v>
      </c>
      <c r="D237" s="66" t="s">
        <v>1566</v>
      </c>
      <c r="E237" s="66" t="s">
        <v>363</v>
      </c>
      <c r="F237" s="66" t="s">
        <v>1189</v>
      </c>
      <c r="G237" s="66" t="s">
        <v>1090</v>
      </c>
      <c r="H237" s="66" t="s">
        <v>1183</v>
      </c>
      <c r="I237" s="66" t="s">
        <v>1658</v>
      </c>
      <c r="J237" s="66"/>
      <c r="K237" s="66">
        <v>4</v>
      </c>
      <c r="L237" s="66">
        <v>16</v>
      </c>
      <c r="M237" s="66" t="s">
        <v>1093</v>
      </c>
      <c r="N237" s="66">
        <v>100</v>
      </c>
      <c r="O237" s="66" t="s">
        <v>1659</v>
      </c>
      <c r="P237" s="66"/>
      <c r="Q237" s="66"/>
      <c r="R237" s="66" t="s">
        <v>1192</v>
      </c>
      <c r="S237" s="66"/>
      <c r="T237" s="66"/>
      <c r="U237" s="66"/>
      <c r="V237" s="66"/>
      <c r="W237" s="66"/>
      <c r="X237" s="66"/>
      <c r="Y237" s="66"/>
      <c r="Z237" s="66"/>
    </row>
    <row r="238" spans="1:26" ht="99.9" hidden="1" customHeight="1" x14ac:dyDescent="0.3">
      <c r="A238" s="66" t="s">
        <v>1660</v>
      </c>
      <c r="B238" s="66" t="s">
        <v>117</v>
      </c>
      <c r="C238" s="66">
        <v>8.4</v>
      </c>
      <c r="D238" s="66" t="s">
        <v>1566</v>
      </c>
      <c r="E238" s="66" t="s">
        <v>363</v>
      </c>
      <c r="F238" s="66" t="s">
        <v>1189</v>
      </c>
      <c r="G238" s="66" t="s">
        <v>1090</v>
      </c>
      <c r="H238" s="66" t="s">
        <v>1183</v>
      </c>
      <c r="I238" s="66" t="s">
        <v>1658</v>
      </c>
      <c r="J238" s="66"/>
      <c r="K238" s="66">
        <v>4</v>
      </c>
      <c r="L238" s="66">
        <v>16</v>
      </c>
      <c r="M238" s="66" t="s">
        <v>1093</v>
      </c>
      <c r="N238" s="66">
        <v>100</v>
      </c>
      <c r="O238" s="66" t="s">
        <v>1661</v>
      </c>
      <c r="P238" s="66"/>
      <c r="Q238" s="66"/>
      <c r="R238" s="66" t="s">
        <v>1192</v>
      </c>
      <c r="S238" s="66"/>
      <c r="T238" s="66"/>
      <c r="U238" s="66"/>
      <c r="V238" s="66"/>
      <c r="W238" s="66"/>
      <c r="X238" s="66"/>
      <c r="Y238" s="66"/>
      <c r="Z238" s="66"/>
    </row>
    <row r="239" spans="1:26" ht="99.9" hidden="1" customHeight="1" x14ac:dyDescent="0.3">
      <c r="A239" s="66" t="s">
        <v>1662</v>
      </c>
      <c r="B239" s="66" t="s">
        <v>117</v>
      </c>
      <c r="C239" s="66">
        <v>8.4</v>
      </c>
      <c r="D239" s="66" t="s">
        <v>1566</v>
      </c>
      <c r="E239" s="66" t="s">
        <v>363</v>
      </c>
      <c r="F239" s="66" t="s">
        <v>1189</v>
      </c>
      <c r="G239" s="66" t="s">
        <v>1090</v>
      </c>
      <c r="H239" s="66" t="s">
        <v>1183</v>
      </c>
      <c r="I239" s="66" t="s">
        <v>1658</v>
      </c>
      <c r="J239" s="66"/>
      <c r="K239" s="66">
        <v>4</v>
      </c>
      <c r="L239" s="66">
        <v>16</v>
      </c>
      <c r="M239" s="66" t="s">
        <v>1093</v>
      </c>
      <c r="N239" s="66">
        <v>100</v>
      </c>
      <c r="O239" s="66" t="s">
        <v>1663</v>
      </c>
      <c r="P239" s="66"/>
      <c r="Q239" s="66"/>
      <c r="R239" s="66" t="s">
        <v>1192</v>
      </c>
      <c r="S239" s="66"/>
      <c r="T239" s="66"/>
      <c r="U239" s="66"/>
      <c r="V239" s="66"/>
      <c r="W239" s="66"/>
      <c r="X239" s="66"/>
      <c r="Y239" s="66"/>
      <c r="Z239" s="66"/>
    </row>
    <row r="240" spans="1:26" ht="99.9" hidden="1" customHeight="1" x14ac:dyDescent="0.3">
      <c r="A240" s="66" t="s">
        <v>1664</v>
      </c>
      <c r="B240" s="66" t="s">
        <v>117</v>
      </c>
      <c r="C240" s="66">
        <v>8.4</v>
      </c>
      <c r="D240" s="66" t="s">
        <v>1566</v>
      </c>
      <c r="E240" s="66" t="s">
        <v>363</v>
      </c>
      <c r="F240" s="66" t="s">
        <v>1189</v>
      </c>
      <c r="G240" s="66" t="s">
        <v>1090</v>
      </c>
      <c r="H240" s="66" t="s">
        <v>1183</v>
      </c>
      <c r="I240" s="66" t="s">
        <v>1665</v>
      </c>
      <c r="J240" s="66"/>
      <c r="K240" s="66">
        <v>4</v>
      </c>
      <c r="L240" s="66">
        <v>16</v>
      </c>
      <c r="M240" s="66" t="s">
        <v>1093</v>
      </c>
      <c r="N240" s="66">
        <v>100</v>
      </c>
      <c r="O240" s="66" t="s">
        <v>1666</v>
      </c>
      <c r="P240" s="66"/>
      <c r="Q240" s="66"/>
      <c r="R240" s="66" t="s">
        <v>1210</v>
      </c>
      <c r="S240" s="66"/>
      <c r="T240" s="66"/>
      <c r="U240" s="66"/>
      <c r="V240" s="66"/>
      <c r="W240" s="66"/>
      <c r="X240" s="66"/>
      <c r="Y240" s="66"/>
      <c r="Z240" s="66"/>
    </row>
    <row r="241" spans="1:26" ht="99.9" hidden="1" customHeight="1" x14ac:dyDescent="0.3">
      <c r="A241" s="66" t="s">
        <v>1667</v>
      </c>
      <c r="B241" s="66" t="s">
        <v>117</v>
      </c>
      <c r="C241" s="66">
        <v>8.4</v>
      </c>
      <c r="D241" s="66" t="s">
        <v>1566</v>
      </c>
      <c r="E241" s="66" t="s">
        <v>363</v>
      </c>
      <c r="F241" s="66" t="s">
        <v>1189</v>
      </c>
      <c r="G241" s="66" t="s">
        <v>1090</v>
      </c>
      <c r="H241" s="66" t="s">
        <v>1183</v>
      </c>
      <c r="I241" s="66" t="s">
        <v>1665</v>
      </c>
      <c r="J241" s="66"/>
      <c r="K241" s="66">
        <v>4</v>
      </c>
      <c r="L241" s="66">
        <v>16</v>
      </c>
      <c r="M241" s="66" t="s">
        <v>1093</v>
      </c>
      <c r="N241" s="66">
        <v>100</v>
      </c>
      <c r="O241" s="66" t="s">
        <v>1668</v>
      </c>
      <c r="P241" s="66"/>
      <c r="Q241" s="66"/>
      <c r="R241" s="66" t="s">
        <v>1210</v>
      </c>
      <c r="S241" s="66"/>
      <c r="T241" s="66"/>
      <c r="U241" s="66"/>
      <c r="V241" s="66"/>
      <c r="W241" s="66"/>
      <c r="X241" s="66"/>
      <c r="Y241" s="66"/>
      <c r="Z241" s="66"/>
    </row>
    <row r="242" spans="1:26" ht="99.9" hidden="1" customHeight="1" x14ac:dyDescent="0.3">
      <c r="A242" s="66" t="s">
        <v>1669</v>
      </c>
      <c r="B242" s="66" t="s">
        <v>117</v>
      </c>
      <c r="C242" s="66">
        <v>8.4</v>
      </c>
      <c r="D242" s="66" t="s">
        <v>1566</v>
      </c>
      <c r="E242" s="66" t="s">
        <v>363</v>
      </c>
      <c r="F242" s="66" t="s">
        <v>1189</v>
      </c>
      <c r="G242" s="66" t="s">
        <v>1090</v>
      </c>
      <c r="H242" s="66" t="s">
        <v>1183</v>
      </c>
      <c r="I242" s="66" t="s">
        <v>1665</v>
      </c>
      <c r="J242" s="66"/>
      <c r="K242" s="66">
        <v>4</v>
      </c>
      <c r="L242" s="66">
        <v>16</v>
      </c>
      <c r="M242" s="66" t="s">
        <v>1093</v>
      </c>
      <c r="N242" s="66">
        <v>100</v>
      </c>
      <c r="O242" s="66" t="s">
        <v>1670</v>
      </c>
      <c r="P242" s="66"/>
      <c r="Q242" s="66"/>
      <c r="R242" s="66" t="s">
        <v>1210</v>
      </c>
      <c r="S242" s="66"/>
      <c r="T242" s="66"/>
      <c r="U242" s="66"/>
      <c r="V242" s="66"/>
      <c r="W242" s="66"/>
      <c r="X242" s="66"/>
      <c r="Y242" s="66"/>
      <c r="Z242" s="66"/>
    </row>
    <row r="243" spans="1:26" ht="99.9" hidden="1" customHeight="1" x14ac:dyDescent="0.3">
      <c r="A243" s="66" t="s">
        <v>1671</v>
      </c>
      <c r="B243" s="66" t="s">
        <v>117</v>
      </c>
      <c r="C243" s="66">
        <v>8.4</v>
      </c>
      <c r="D243" s="66" t="s">
        <v>1566</v>
      </c>
      <c r="E243" s="66" t="s">
        <v>363</v>
      </c>
      <c r="F243" s="66" t="s">
        <v>1189</v>
      </c>
      <c r="G243" s="66" t="s">
        <v>1090</v>
      </c>
      <c r="H243" s="66" t="s">
        <v>1183</v>
      </c>
      <c r="I243" s="66" t="s">
        <v>1672</v>
      </c>
      <c r="J243" s="66"/>
      <c r="K243" s="66">
        <v>4</v>
      </c>
      <c r="L243" s="66">
        <v>16</v>
      </c>
      <c r="M243" s="66" t="s">
        <v>1093</v>
      </c>
      <c r="N243" s="66">
        <v>100</v>
      </c>
      <c r="O243" s="66" t="s">
        <v>1673</v>
      </c>
      <c r="P243" s="66"/>
      <c r="Q243" s="66"/>
      <c r="R243" s="66" t="s">
        <v>1232</v>
      </c>
      <c r="S243" s="66"/>
      <c r="T243" s="66"/>
      <c r="U243" s="66"/>
      <c r="V243" s="66"/>
      <c r="W243" s="66"/>
      <c r="X243" s="66"/>
      <c r="Y243" s="66"/>
      <c r="Z243" s="66"/>
    </row>
    <row r="244" spans="1:26" ht="99.9" hidden="1" customHeight="1" x14ac:dyDescent="0.3">
      <c r="A244" s="66" t="s">
        <v>1674</v>
      </c>
      <c r="B244" s="66" t="s">
        <v>117</v>
      </c>
      <c r="C244" s="66">
        <v>8.4</v>
      </c>
      <c r="D244" s="66" t="s">
        <v>1566</v>
      </c>
      <c r="E244" s="66" t="s">
        <v>363</v>
      </c>
      <c r="F244" s="66" t="s">
        <v>1189</v>
      </c>
      <c r="G244" s="66" t="s">
        <v>1090</v>
      </c>
      <c r="H244" s="66" t="s">
        <v>1183</v>
      </c>
      <c r="I244" s="66" t="s">
        <v>1675</v>
      </c>
      <c r="J244" s="66"/>
      <c r="K244" s="66">
        <v>4</v>
      </c>
      <c r="L244" s="66">
        <v>16</v>
      </c>
      <c r="M244" s="66" t="s">
        <v>1093</v>
      </c>
      <c r="N244" s="66">
        <v>100</v>
      </c>
      <c r="O244" s="66" t="s">
        <v>1676</v>
      </c>
      <c r="P244" s="66"/>
      <c r="Q244" s="66"/>
      <c r="R244" s="66" t="s">
        <v>1232</v>
      </c>
      <c r="S244" s="66"/>
      <c r="T244" s="66"/>
      <c r="U244" s="66"/>
      <c r="V244" s="66"/>
      <c r="W244" s="66"/>
      <c r="X244" s="66"/>
      <c r="Y244" s="66"/>
      <c r="Z244" s="66"/>
    </row>
    <row r="245" spans="1:26" ht="99.9" hidden="1" customHeight="1" x14ac:dyDescent="0.3">
      <c r="A245" s="66" t="s">
        <v>1677</v>
      </c>
      <c r="B245" s="66" t="s">
        <v>117</v>
      </c>
      <c r="C245" s="66">
        <v>8.4</v>
      </c>
      <c r="D245" s="66" t="s">
        <v>1566</v>
      </c>
      <c r="E245" s="66" t="s">
        <v>363</v>
      </c>
      <c r="F245" s="66" t="s">
        <v>1141</v>
      </c>
      <c r="G245" s="66" t="s">
        <v>1090</v>
      </c>
      <c r="H245" s="66" t="s">
        <v>1183</v>
      </c>
      <c r="I245" s="66" t="s">
        <v>1678</v>
      </c>
      <c r="J245" s="66"/>
      <c r="K245" s="66">
        <v>4</v>
      </c>
      <c r="L245" s="66">
        <v>16</v>
      </c>
      <c r="M245" s="66" t="s">
        <v>1093</v>
      </c>
      <c r="N245" s="66">
        <v>100</v>
      </c>
      <c r="O245" s="66" t="s">
        <v>1679</v>
      </c>
      <c r="P245" s="66"/>
      <c r="Q245" s="66"/>
      <c r="R245" s="66" t="s">
        <v>1247</v>
      </c>
      <c r="S245" s="66"/>
      <c r="T245" s="66"/>
      <c r="U245" s="66"/>
      <c r="V245" s="66"/>
      <c r="W245" s="66"/>
      <c r="X245" s="66"/>
      <c r="Y245" s="66"/>
      <c r="Z245" s="66"/>
    </row>
    <row r="246" spans="1:26" ht="99.9" hidden="1" customHeight="1" x14ac:dyDescent="0.3">
      <c r="A246" s="66" t="s">
        <v>1680</v>
      </c>
      <c r="B246" s="66" t="s">
        <v>117</v>
      </c>
      <c r="C246" s="66">
        <v>8.4</v>
      </c>
      <c r="D246" s="66" t="s">
        <v>1566</v>
      </c>
      <c r="E246" s="66" t="s">
        <v>363</v>
      </c>
      <c r="F246" s="66" t="s">
        <v>1141</v>
      </c>
      <c r="G246" s="66" t="s">
        <v>1090</v>
      </c>
      <c r="H246" s="66" t="s">
        <v>1183</v>
      </c>
      <c r="I246" s="66" t="s">
        <v>1678</v>
      </c>
      <c r="J246" s="66"/>
      <c r="K246" s="66">
        <v>4</v>
      </c>
      <c r="L246" s="66">
        <v>16</v>
      </c>
      <c r="M246" s="66" t="s">
        <v>1093</v>
      </c>
      <c r="N246" s="66">
        <v>100</v>
      </c>
      <c r="O246" s="66" t="s">
        <v>1681</v>
      </c>
      <c r="P246" s="66"/>
      <c r="Q246" s="66"/>
      <c r="R246" s="66" t="s">
        <v>1247</v>
      </c>
      <c r="S246" s="66"/>
      <c r="T246" s="66"/>
      <c r="U246" s="66"/>
      <c r="V246" s="66"/>
      <c r="W246" s="66"/>
      <c r="X246" s="66"/>
      <c r="Y246" s="66"/>
      <c r="Z246" s="66"/>
    </row>
    <row r="247" spans="1:26" ht="99.9" hidden="1" customHeight="1" x14ac:dyDescent="0.3">
      <c r="A247" s="66" t="s">
        <v>1682</v>
      </c>
      <c r="B247" s="66"/>
      <c r="C247" s="66">
        <v>8.4</v>
      </c>
      <c r="D247" s="66" t="s">
        <v>1566</v>
      </c>
      <c r="E247" s="66" t="s">
        <v>363</v>
      </c>
      <c r="F247" s="66" t="s">
        <v>1141</v>
      </c>
      <c r="G247" s="66" t="s">
        <v>1090</v>
      </c>
      <c r="H247" s="66" t="s">
        <v>1183</v>
      </c>
      <c r="I247" s="66" t="s">
        <v>1254</v>
      </c>
      <c r="J247" s="66"/>
      <c r="K247" s="66">
        <v>4</v>
      </c>
      <c r="L247" s="66">
        <v>8</v>
      </c>
      <c r="M247" s="66" t="s">
        <v>1093</v>
      </c>
      <c r="N247" s="66">
        <v>100</v>
      </c>
      <c r="O247" s="66" t="s">
        <v>1683</v>
      </c>
      <c r="P247" s="66"/>
      <c r="Q247" s="66"/>
      <c r="R247" s="66" t="s">
        <v>1256</v>
      </c>
      <c r="S247" s="66"/>
      <c r="T247" s="66"/>
      <c r="U247" s="66"/>
      <c r="V247" s="66"/>
      <c r="W247" s="66"/>
      <c r="X247" s="66"/>
      <c r="Y247" s="66"/>
      <c r="Z247" s="66"/>
    </row>
    <row r="248" spans="1:26" ht="99.9" hidden="1" customHeight="1" x14ac:dyDescent="0.3">
      <c r="A248" s="66" t="s">
        <v>1684</v>
      </c>
      <c r="B248" s="66"/>
      <c r="C248" s="66">
        <v>8.4</v>
      </c>
      <c r="D248" s="66" t="s">
        <v>1566</v>
      </c>
      <c r="E248" s="66" t="s">
        <v>363</v>
      </c>
      <c r="F248" s="66" t="s">
        <v>1141</v>
      </c>
      <c r="G248" s="66" t="s">
        <v>1090</v>
      </c>
      <c r="H248" s="66" t="s">
        <v>1183</v>
      </c>
      <c r="I248" s="66" t="s">
        <v>1254</v>
      </c>
      <c r="J248" s="66"/>
      <c r="K248" s="66">
        <v>4</v>
      </c>
      <c r="L248" s="66">
        <v>8</v>
      </c>
      <c r="M248" s="66" t="s">
        <v>1093</v>
      </c>
      <c r="N248" s="66">
        <v>100</v>
      </c>
      <c r="O248" s="66" t="s">
        <v>1685</v>
      </c>
      <c r="P248" s="66"/>
      <c r="Q248" s="66"/>
      <c r="R248" s="66" t="s">
        <v>1256</v>
      </c>
      <c r="S248" s="66"/>
      <c r="T248" s="66"/>
      <c r="U248" s="66"/>
      <c r="V248" s="66"/>
      <c r="W248" s="66"/>
      <c r="X248" s="66"/>
      <c r="Y248" s="66"/>
      <c r="Z248" s="66"/>
    </row>
    <row r="249" spans="1:26" ht="99.9" hidden="1" customHeight="1" x14ac:dyDescent="0.3">
      <c r="A249" s="66" t="s">
        <v>1686</v>
      </c>
      <c r="B249" s="66" t="s">
        <v>117</v>
      </c>
      <c r="C249" s="66">
        <v>8.4</v>
      </c>
      <c r="D249" s="66" t="s">
        <v>1566</v>
      </c>
      <c r="E249" s="66" t="s">
        <v>353</v>
      </c>
      <c r="F249" s="66" t="s">
        <v>1267</v>
      </c>
      <c r="G249" s="66"/>
      <c r="H249" s="66" t="s">
        <v>1268</v>
      </c>
      <c r="I249" s="66" t="s">
        <v>1687</v>
      </c>
      <c r="J249" s="66" t="s">
        <v>1270</v>
      </c>
      <c r="K249" s="66">
        <v>8</v>
      </c>
      <c r="L249" s="66">
        <v>16</v>
      </c>
      <c r="M249" s="66" t="s">
        <v>1081</v>
      </c>
      <c r="N249" s="66"/>
      <c r="O249" s="66" t="s">
        <v>1688</v>
      </c>
      <c r="P249" s="66"/>
      <c r="Q249" s="66"/>
      <c r="R249" s="66"/>
      <c r="S249" s="66"/>
      <c r="T249" s="66"/>
      <c r="U249" s="66" t="s">
        <v>1689</v>
      </c>
      <c r="V249" s="66"/>
      <c r="W249" s="66"/>
      <c r="X249" s="66"/>
      <c r="Y249" s="66"/>
      <c r="Z249" s="66"/>
    </row>
    <row r="250" spans="1:26" ht="99.9" hidden="1" customHeight="1" x14ac:dyDescent="0.3">
      <c r="A250" s="66" t="s">
        <v>1690</v>
      </c>
      <c r="B250" s="66" t="s">
        <v>117</v>
      </c>
      <c r="C250" s="66">
        <v>8.4</v>
      </c>
      <c r="D250" s="66" t="s">
        <v>1566</v>
      </c>
      <c r="E250" s="66" t="s">
        <v>353</v>
      </c>
      <c r="F250" s="66" t="s">
        <v>1267</v>
      </c>
      <c r="G250" s="66"/>
      <c r="H250" s="66" t="s">
        <v>1268</v>
      </c>
      <c r="I250" s="66" t="s">
        <v>1691</v>
      </c>
      <c r="J250" s="66" t="s">
        <v>1270</v>
      </c>
      <c r="K250" s="66">
        <v>8</v>
      </c>
      <c r="L250" s="66">
        <v>16</v>
      </c>
      <c r="M250" s="66" t="s">
        <v>1081</v>
      </c>
      <c r="N250" s="66"/>
      <c r="O250" s="66" t="s">
        <v>1692</v>
      </c>
      <c r="P250" s="66"/>
      <c r="Q250" s="66"/>
      <c r="R250" s="66"/>
      <c r="S250" s="66"/>
      <c r="T250" s="66"/>
      <c r="U250" s="66" t="s">
        <v>1689</v>
      </c>
      <c r="V250" s="66"/>
      <c r="W250" s="66"/>
      <c r="X250" s="66"/>
      <c r="Y250" s="66"/>
      <c r="Z250" s="66"/>
    </row>
    <row r="251" spans="1:26" ht="99.9" hidden="1" customHeight="1" x14ac:dyDescent="0.3">
      <c r="A251" s="66" t="s">
        <v>1693</v>
      </c>
      <c r="B251" s="66" t="s">
        <v>117</v>
      </c>
      <c r="C251" s="66">
        <v>8.4</v>
      </c>
      <c r="D251" s="66" t="s">
        <v>1566</v>
      </c>
      <c r="E251" s="66" t="s">
        <v>353</v>
      </c>
      <c r="F251" s="66" t="s">
        <v>1267</v>
      </c>
      <c r="G251" s="66"/>
      <c r="H251" s="66" t="s">
        <v>1268</v>
      </c>
      <c r="I251" s="66" t="s">
        <v>1694</v>
      </c>
      <c r="J251" s="66" t="s">
        <v>1270</v>
      </c>
      <c r="K251" s="66">
        <v>16</v>
      </c>
      <c r="L251" s="66">
        <v>24</v>
      </c>
      <c r="M251" s="66" t="s">
        <v>1081</v>
      </c>
      <c r="N251" s="66"/>
      <c r="O251" s="66" t="s">
        <v>1695</v>
      </c>
      <c r="P251" s="66"/>
      <c r="Q251" s="66"/>
      <c r="R251" s="66"/>
      <c r="S251" s="66"/>
      <c r="T251" s="66"/>
      <c r="U251" s="66" t="s">
        <v>1689</v>
      </c>
      <c r="V251" s="66"/>
      <c r="W251" s="66"/>
      <c r="X251" s="66"/>
      <c r="Y251" s="66"/>
      <c r="Z251" s="66"/>
    </row>
    <row r="252" spans="1:26" ht="99.9" hidden="1" customHeight="1" x14ac:dyDescent="0.3">
      <c r="A252" s="66" t="s">
        <v>1696</v>
      </c>
      <c r="B252" s="66" t="s">
        <v>117</v>
      </c>
      <c r="C252" s="66">
        <v>8.4</v>
      </c>
      <c r="D252" s="66" t="s">
        <v>1566</v>
      </c>
      <c r="E252" s="66" t="s">
        <v>353</v>
      </c>
      <c r="F252" s="66" t="s">
        <v>1267</v>
      </c>
      <c r="G252" s="66"/>
      <c r="H252" s="66" t="s">
        <v>1268</v>
      </c>
      <c r="I252" s="66" t="s">
        <v>1697</v>
      </c>
      <c r="J252" s="66" t="s">
        <v>1270</v>
      </c>
      <c r="K252" s="66">
        <v>16</v>
      </c>
      <c r="L252" s="66">
        <v>24</v>
      </c>
      <c r="M252" s="66" t="s">
        <v>1081</v>
      </c>
      <c r="N252" s="66"/>
      <c r="O252" s="66" t="s">
        <v>1698</v>
      </c>
      <c r="P252" s="66"/>
      <c r="Q252" s="66"/>
      <c r="R252" s="66"/>
      <c r="S252" s="66"/>
      <c r="T252" s="66"/>
      <c r="U252" s="66" t="s">
        <v>1689</v>
      </c>
      <c r="V252" s="66"/>
      <c r="W252" s="66"/>
      <c r="X252" s="66"/>
      <c r="Y252" s="66"/>
      <c r="Z252" s="66"/>
    </row>
    <row r="253" spans="1:26" ht="99.9" hidden="1" customHeight="1" x14ac:dyDescent="0.3">
      <c r="A253" s="66" t="s">
        <v>1699</v>
      </c>
      <c r="B253" s="66" t="s">
        <v>117</v>
      </c>
      <c r="C253" s="66">
        <v>8.4</v>
      </c>
      <c r="D253" s="66" t="s">
        <v>1566</v>
      </c>
      <c r="E253" s="66" t="s">
        <v>353</v>
      </c>
      <c r="F253" s="66" t="s">
        <v>1267</v>
      </c>
      <c r="G253" s="66"/>
      <c r="H253" s="66" t="s">
        <v>1268</v>
      </c>
      <c r="I253" s="66" t="s">
        <v>1700</v>
      </c>
      <c r="J253" s="66" t="s">
        <v>1270</v>
      </c>
      <c r="K253" s="66">
        <v>16</v>
      </c>
      <c r="L253" s="66">
        <v>24</v>
      </c>
      <c r="M253" s="66" t="s">
        <v>1081</v>
      </c>
      <c r="N253" s="66"/>
      <c r="O253" s="66" t="s">
        <v>1701</v>
      </c>
      <c r="P253" s="66"/>
      <c r="Q253" s="66"/>
      <c r="R253" s="66"/>
      <c r="S253" s="66"/>
      <c r="T253" s="66"/>
      <c r="U253" s="66" t="s">
        <v>1689</v>
      </c>
      <c r="V253" s="66"/>
      <c r="W253" s="66"/>
      <c r="X253" s="66"/>
      <c r="Y253" s="66"/>
      <c r="Z253" s="66"/>
    </row>
    <row r="254" spans="1:26" ht="99.9" hidden="1" customHeight="1" x14ac:dyDescent="0.3">
      <c r="A254" s="66" t="s">
        <v>1702</v>
      </c>
      <c r="B254" s="66" t="s">
        <v>117</v>
      </c>
      <c r="C254" s="66">
        <v>8.4</v>
      </c>
      <c r="D254" s="66" t="s">
        <v>1566</v>
      </c>
      <c r="E254" s="66" t="s">
        <v>353</v>
      </c>
      <c r="F254" s="66" t="s">
        <v>1267</v>
      </c>
      <c r="G254" s="66"/>
      <c r="H254" s="66" t="s">
        <v>1268</v>
      </c>
      <c r="I254" s="66" t="s">
        <v>1703</v>
      </c>
      <c r="J254" s="66" t="s">
        <v>1270</v>
      </c>
      <c r="K254" s="66">
        <v>8</v>
      </c>
      <c r="L254" s="66">
        <v>16</v>
      </c>
      <c r="M254" s="66" t="s">
        <v>1081</v>
      </c>
      <c r="N254" s="66"/>
      <c r="O254" s="66" t="s">
        <v>1704</v>
      </c>
      <c r="P254" s="66"/>
      <c r="Q254" s="66"/>
      <c r="R254" s="66"/>
      <c r="S254" s="66"/>
      <c r="T254" s="66"/>
      <c r="U254" s="66" t="s">
        <v>1689</v>
      </c>
      <c r="V254" s="66"/>
      <c r="W254" s="66"/>
      <c r="X254" s="66"/>
      <c r="Y254" s="66"/>
      <c r="Z254" s="66"/>
    </row>
    <row r="255" spans="1:26" ht="99.9" hidden="1" customHeight="1" x14ac:dyDescent="0.3">
      <c r="A255" s="66" t="s">
        <v>1705</v>
      </c>
      <c r="B255" s="66" t="s">
        <v>117</v>
      </c>
      <c r="C255" s="66">
        <v>8.4</v>
      </c>
      <c r="D255" s="66" t="s">
        <v>1566</v>
      </c>
      <c r="E255" s="66" t="s">
        <v>353</v>
      </c>
      <c r="F255" s="66" t="s">
        <v>1267</v>
      </c>
      <c r="G255" s="66"/>
      <c r="H255" s="66" t="s">
        <v>1268</v>
      </c>
      <c r="I255" s="66" t="s">
        <v>1706</v>
      </c>
      <c r="J255" s="66" t="s">
        <v>1270</v>
      </c>
      <c r="K255" s="66">
        <v>8</v>
      </c>
      <c r="L255" s="66">
        <v>16</v>
      </c>
      <c r="M255" s="66" t="s">
        <v>1081</v>
      </c>
      <c r="N255" s="66"/>
      <c r="O255" s="66" t="s">
        <v>1707</v>
      </c>
      <c r="P255" s="66"/>
      <c r="Q255" s="66"/>
      <c r="R255" s="66"/>
      <c r="S255" s="66"/>
      <c r="T255" s="66"/>
      <c r="U255" s="66" t="s">
        <v>1689</v>
      </c>
      <c r="V255" s="66"/>
      <c r="W255" s="66"/>
      <c r="X255" s="66"/>
      <c r="Y255" s="66"/>
      <c r="Z255" s="66"/>
    </row>
    <row r="256" spans="1:26" ht="99.9" hidden="1" customHeight="1" x14ac:dyDescent="0.3">
      <c r="A256" s="66" t="s">
        <v>1708</v>
      </c>
      <c r="B256" s="66" t="s">
        <v>117</v>
      </c>
      <c r="C256" s="66">
        <v>8.4</v>
      </c>
      <c r="D256" s="66" t="s">
        <v>1566</v>
      </c>
      <c r="E256" s="66" t="s">
        <v>353</v>
      </c>
      <c r="F256" s="66" t="s">
        <v>1287</v>
      </c>
      <c r="G256" s="66"/>
      <c r="H256" s="66" t="s">
        <v>1268</v>
      </c>
      <c r="I256" s="66" t="s">
        <v>1709</v>
      </c>
      <c r="J256" s="66" t="s">
        <v>1289</v>
      </c>
      <c r="K256" s="66">
        <v>8</v>
      </c>
      <c r="L256" s="66">
        <v>16</v>
      </c>
      <c r="M256" s="66" t="s">
        <v>1093</v>
      </c>
      <c r="N256" s="66">
        <v>200</v>
      </c>
      <c r="O256" s="66" t="s">
        <v>1710</v>
      </c>
      <c r="P256" s="66"/>
      <c r="Q256" s="66"/>
      <c r="R256" s="66"/>
      <c r="S256" s="66"/>
      <c r="T256" s="66"/>
      <c r="U256" s="66" t="s">
        <v>1711</v>
      </c>
      <c r="V256" s="66"/>
      <c r="W256" s="66"/>
      <c r="X256" s="66"/>
      <c r="Y256" s="66"/>
      <c r="Z256" s="66"/>
    </row>
    <row r="257" spans="1:26" s="1" customFormat="1" ht="19.8" hidden="1" x14ac:dyDescent="0.3">
      <c r="A257" s="49" t="s">
        <v>1526</v>
      </c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1"/>
    </row>
    <row r="258" spans="1:26" ht="99.9" hidden="1" customHeight="1" x14ac:dyDescent="0.3">
      <c r="A258" s="66" t="s">
        <v>1712</v>
      </c>
      <c r="B258" s="66" t="s">
        <v>117</v>
      </c>
      <c r="C258" s="66">
        <v>8.4</v>
      </c>
      <c r="D258" s="66" t="s">
        <v>1526</v>
      </c>
      <c r="E258" s="66" t="s">
        <v>1534</v>
      </c>
      <c r="F258" s="66" t="s">
        <v>1189</v>
      </c>
      <c r="G258" s="66" t="s">
        <v>1090</v>
      </c>
      <c r="H258" s="66" t="s">
        <v>1412</v>
      </c>
      <c r="I258" s="66" t="s">
        <v>1568</v>
      </c>
      <c r="J258" s="66" t="s">
        <v>1569</v>
      </c>
      <c r="K258" s="66">
        <v>8</v>
      </c>
      <c r="L258" s="66">
        <v>32</v>
      </c>
      <c r="M258" s="66" t="s">
        <v>1093</v>
      </c>
      <c r="N258" s="66">
        <v>60</v>
      </c>
      <c r="O258" s="66" t="s">
        <v>1713</v>
      </c>
      <c r="P258" s="66"/>
      <c r="Q258" s="66"/>
      <c r="R258" s="66"/>
      <c r="S258" s="66"/>
      <c r="T258" s="66"/>
      <c r="U258" s="66" t="s">
        <v>1574</v>
      </c>
      <c r="V258" s="66"/>
      <c r="W258" s="66"/>
      <c r="X258" s="66"/>
      <c r="Y258" s="66"/>
      <c r="Z258" s="66"/>
    </row>
    <row r="259" spans="1:26" ht="99.9" hidden="1" customHeight="1" x14ac:dyDescent="0.3">
      <c r="A259" s="66" t="s">
        <v>1714</v>
      </c>
      <c r="B259" s="66" t="s">
        <v>117</v>
      </c>
      <c r="C259" s="66">
        <v>8.4</v>
      </c>
      <c r="D259" s="66" t="s">
        <v>1526</v>
      </c>
      <c r="E259" s="66" t="s">
        <v>1534</v>
      </c>
      <c r="F259" s="66" t="s">
        <v>1189</v>
      </c>
      <c r="G259" s="66" t="s">
        <v>1090</v>
      </c>
      <c r="H259" s="66" t="s">
        <v>1412</v>
      </c>
      <c r="I259" s="66" t="s">
        <v>1568</v>
      </c>
      <c r="J259" s="66" t="s">
        <v>1569</v>
      </c>
      <c r="K259" s="66">
        <v>8</v>
      </c>
      <c r="L259" s="66">
        <v>32</v>
      </c>
      <c r="M259" s="66" t="s">
        <v>1093</v>
      </c>
      <c r="N259" s="66">
        <v>60</v>
      </c>
      <c r="O259" s="66" t="s">
        <v>1715</v>
      </c>
      <c r="P259" s="66"/>
      <c r="Q259" s="66"/>
      <c r="R259" s="66"/>
      <c r="S259" s="66"/>
      <c r="T259" s="66"/>
      <c r="U259" s="66" t="s">
        <v>1574</v>
      </c>
      <c r="V259" s="66"/>
      <c r="W259" s="66"/>
      <c r="X259" s="66"/>
      <c r="Y259" s="66"/>
      <c r="Z259" s="66"/>
    </row>
    <row r="260" spans="1:26" ht="99.9" hidden="1" customHeight="1" x14ac:dyDescent="0.3">
      <c r="A260" s="66" t="s">
        <v>1716</v>
      </c>
      <c r="B260" s="66" t="s">
        <v>117</v>
      </c>
      <c r="C260" s="66">
        <v>8.4</v>
      </c>
      <c r="D260" s="66" t="s">
        <v>1526</v>
      </c>
      <c r="E260" s="66" t="s">
        <v>1534</v>
      </c>
      <c r="F260" s="66" t="s">
        <v>1189</v>
      </c>
      <c r="G260" s="66" t="s">
        <v>1090</v>
      </c>
      <c r="H260" s="66" t="s">
        <v>1412</v>
      </c>
      <c r="I260" s="66" t="s">
        <v>1568</v>
      </c>
      <c r="J260" s="66" t="s">
        <v>1569</v>
      </c>
      <c r="K260" s="66">
        <v>8</v>
      </c>
      <c r="L260" s="66">
        <v>32</v>
      </c>
      <c r="M260" s="66" t="s">
        <v>1093</v>
      </c>
      <c r="N260" s="66">
        <v>60</v>
      </c>
      <c r="O260" s="66" t="s">
        <v>1717</v>
      </c>
      <c r="P260" s="66"/>
      <c r="Q260" s="66"/>
      <c r="R260" s="66"/>
      <c r="S260" s="66"/>
      <c r="T260" s="66"/>
      <c r="U260" s="66" t="s">
        <v>1574</v>
      </c>
      <c r="V260" s="66"/>
      <c r="W260" s="66"/>
      <c r="X260" s="66"/>
      <c r="Y260" s="66"/>
      <c r="Z260" s="66"/>
    </row>
    <row r="261" spans="1:26" ht="99.9" hidden="1" customHeight="1" x14ac:dyDescent="0.3">
      <c r="A261" s="66" t="s">
        <v>1718</v>
      </c>
      <c r="B261" s="66" t="s">
        <v>117</v>
      </c>
      <c r="C261" s="66">
        <v>8.4</v>
      </c>
      <c r="D261" s="66" t="s">
        <v>1526</v>
      </c>
      <c r="E261" s="66" t="s">
        <v>1534</v>
      </c>
      <c r="F261" s="66" t="s">
        <v>1189</v>
      </c>
      <c r="G261" s="66" t="s">
        <v>1090</v>
      </c>
      <c r="H261" s="66" t="s">
        <v>1412</v>
      </c>
      <c r="I261" s="66" t="s">
        <v>1576</v>
      </c>
      <c r="J261" s="66" t="s">
        <v>1569</v>
      </c>
      <c r="K261" s="66">
        <v>8</v>
      </c>
      <c r="L261" s="66">
        <v>32</v>
      </c>
      <c r="M261" s="66" t="s">
        <v>1093</v>
      </c>
      <c r="N261" s="66">
        <v>60</v>
      </c>
      <c r="O261" s="66" t="s">
        <v>1719</v>
      </c>
      <c r="P261" s="66"/>
      <c r="Q261" s="66"/>
      <c r="R261" s="66"/>
      <c r="S261" s="66"/>
      <c r="T261" s="66"/>
      <c r="U261" s="66" t="s">
        <v>1574</v>
      </c>
      <c r="V261" s="66"/>
      <c r="W261" s="66"/>
      <c r="X261" s="66"/>
      <c r="Y261" s="66"/>
      <c r="Z261" s="66"/>
    </row>
    <row r="262" spans="1:26" ht="99.9" hidden="1" customHeight="1" x14ac:dyDescent="0.3">
      <c r="A262" s="66" t="s">
        <v>1720</v>
      </c>
      <c r="B262" s="66" t="s">
        <v>117</v>
      </c>
      <c r="C262" s="66">
        <v>8.4</v>
      </c>
      <c r="D262" s="66" t="s">
        <v>1526</v>
      </c>
      <c r="E262" s="66" t="s">
        <v>1534</v>
      </c>
      <c r="F262" s="66" t="s">
        <v>1598</v>
      </c>
      <c r="G262" s="66" t="s">
        <v>1090</v>
      </c>
      <c r="H262" s="66" t="s">
        <v>1078</v>
      </c>
      <c r="I262" s="66" t="s">
        <v>1599</v>
      </c>
      <c r="J262" s="66" t="s">
        <v>1092</v>
      </c>
      <c r="K262" s="66">
        <v>4</v>
      </c>
      <c r="L262" s="66">
        <v>8</v>
      </c>
      <c r="M262" s="66" t="s">
        <v>1093</v>
      </c>
      <c r="N262" s="66">
        <v>100</v>
      </c>
      <c r="O262" s="66" t="s">
        <v>1721</v>
      </c>
      <c r="P262" s="66" t="s">
        <v>1392</v>
      </c>
      <c r="Q262" s="66"/>
      <c r="R262" s="66"/>
      <c r="S262" s="66"/>
      <c r="T262" s="66"/>
      <c r="U262" s="66" t="s">
        <v>1601</v>
      </c>
      <c r="V262" s="66"/>
      <c r="W262" s="66"/>
      <c r="X262" s="66"/>
      <c r="Y262" s="66"/>
      <c r="Z262" s="66"/>
    </row>
    <row r="263" spans="1:26" ht="99.9" hidden="1" customHeight="1" x14ac:dyDescent="0.3">
      <c r="A263" s="66" t="s">
        <v>1722</v>
      </c>
      <c r="B263" s="66" t="s">
        <v>117</v>
      </c>
      <c r="C263" s="66">
        <v>8.4</v>
      </c>
      <c r="D263" s="66" t="s">
        <v>1526</v>
      </c>
      <c r="E263" s="66" t="s">
        <v>1534</v>
      </c>
      <c r="F263" s="66" t="s">
        <v>1598</v>
      </c>
      <c r="G263" s="66" t="s">
        <v>1090</v>
      </c>
      <c r="H263" s="66" t="s">
        <v>1078</v>
      </c>
      <c r="I263" s="66" t="s">
        <v>1599</v>
      </c>
      <c r="J263" s="66" t="s">
        <v>1092</v>
      </c>
      <c r="K263" s="66">
        <v>4</v>
      </c>
      <c r="L263" s="66">
        <v>8</v>
      </c>
      <c r="M263" s="66" t="s">
        <v>1093</v>
      </c>
      <c r="N263" s="66">
        <v>100</v>
      </c>
      <c r="O263" s="66" t="s">
        <v>1723</v>
      </c>
      <c r="P263" s="66" t="s">
        <v>1392</v>
      </c>
      <c r="Q263" s="66"/>
      <c r="R263" s="66"/>
      <c r="S263" s="66"/>
      <c r="T263" s="66"/>
      <c r="U263" s="66" t="s">
        <v>1601</v>
      </c>
      <c r="V263" s="66"/>
      <c r="W263" s="66"/>
      <c r="X263" s="66"/>
      <c r="Y263" s="66"/>
      <c r="Z263" s="66"/>
    </row>
    <row r="264" spans="1:26" ht="99.9" hidden="1" customHeight="1" x14ac:dyDescent="0.3">
      <c r="A264" s="66" t="s">
        <v>1724</v>
      </c>
      <c r="B264" s="66" t="s">
        <v>117</v>
      </c>
      <c r="C264" s="66">
        <v>8.4</v>
      </c>
      <c r="D264" s="66" t="s">
        <v>1526</v>
      </c>
      <c r="E264" s="66" t="s">
        <v>1534</v>
      </c>
      <c r="F264" s="66" t="s">
        <v>1598</v>
      </c>
      <c r="G264" s="66" t="s">
        <v>1090</v>
      </c>
      <c r="H264" s="66" t="s">
        <v>1078</v>
      </c>
      <c r="I264" s="66" t="s">
        <v>1725</v>
      </c>
      <c r="J264" s="66" t="s">
        <v>1092</v>
      </c>
      <c r="K264" s="66">
        <v>4</v>
      </c>
      <c r="L264" s="66">
        <v>8</v>
      </c>
      <c r="M264" s="66" t="s">
        <v>1093</v>
      </c>
      <c r="N264" s="66">
        <v>100</v>
      </c>
      <c r="O264" s="66" t="s">
        <v>1726</v>
      </c>
      <c r="P264" s="66" t="s">
        <v>1392</v>
      </c>
      <c r="Q264" s="66"/>
      <c r="R264" s="66"/>
      <c r="S264" s="66"/>
      <c r="T264" s="66"/>
      <c r="U264" s="66" t="s">
        <v>1601</v>
      </c>
      <c r="V264" s="66"/>
      <c r="W264" s="66"/>
      <c r="X264" s="66"/>
      <c r="Y264" s="66"/>
      <c r="Z264" s="66"/>
    </row>
    <row r="265" spans="1:26" ht="99.9" hidden="1" customHeight="1" x14ac:dyDescent="0.3">
      <c r="A265" s="66" t="s">
        <v>1727</v>
      </c>
      <c r="B265" s="66" t="s">
        <v>117</v>
      </c>
      <c r="C265" s="66">
        <v>8.4</v>
      </c>
      <c r="D265" s="66" t="s">
        <v>1526</v>
      </c>
      <c r="E265" s="66" t="s">
        <v>1534</v>
      </c>
      <c r="F265" s="66" t="s">
        <v>1598</v>
      </c>
      <c r="G265" s="66" t="s">
        <v>1090</v>
      </c>
      <c r="H265" s="66" t="s">
        <v>1078</v>
      </c>
      <c r="I265" s="66" t="s">
        <v>1725</v>
      </c>
      <c r="J265" s="66" t="s">
        <v>1092</v>
      </c>
      <c r="K265" s="66">
        <v>4</v>
      </c>
      <c r="L265" s="66">
        <v>8</v>
      </c>
      <c r="M265" s="66" t="s">
        <v>1093</v>
      </c>
      <c r="N265" s="66">
        <v>100</v>
      </c>
      <c r="O265" s="66" t="s">
        <v>1728</v>
      </c>
      <c r="P265" s="66" t="s">
        <v>1392</v>
      </c>
      <c r="Q265" s="66"/>
      <c r="R265" s="66"/>
      <c r="S265" s="66"/>
      <c r="T265" s="66"/>
      <c r="U265" s="66" t="s">
        <v>1601</v>
      </c>
      <c r="V265" s="66"/>
      <c r="W265" s="66"/>
      <c r="X265" s="66"/>
      <c r="Y265" s="66"/>
      <c r="Z265" s="66"/>
    </row>
    <row r="266" spans="1:26" ht="99.9" hidden="1" customHeight="1" x14ac:dyDescent="0.3">
      <c r="A266" s="66" t="s">
        <v>1729</v>
      </c>
      <c r="B266" s="66" t="s">
        <v>1579</v>
      </c>
      <c r="C266" s="66">
        <v>15.3</v>
      </c>
      <c r="D266" s="66" t="s">
        <v>1526</v>
      </c>
      <c r="E266" s="66" t="s">
        <v>1534</v>
      </c>
      <c r="F266" s="66" t="s">
        <v>1580</v>
      </c>
      <c r="G266" s="66" t="s">
        <v>1077</v>
      </c>
      <c r="H266" s="66" t="s">
        <v>1581</v>
      </c>
      <c r="I266" s="66" t="s">
        <v>1582</v>
      </c>
      <c r="J266" s="66" t="s">
        <v>1583</v>
      </c>
      <c r="K266" s="66">
        <v>4</v>
      </c>
      <c r="L266" s="66">
        <v>16</v>
      </c>
      <c r="M266" s="66" t="s">
        <v>1093</v>
      </c>
      <c r="N266" s="66"/>
      <c r="O266" s="66" t="s">
        <v>1730</v>
      </c>
      <c r="P266" s="66" t="s">
        <v>1585</v>
      </c>
      <c r="Q266" s="66"/>
      <c r="R266" s="66"/>
      <c r="S266" s="66"/>
      <c r="T266" s="66"/>
      <c r="U266" s="66" t="s">
        <v>1586</v>
      </c>
      <c r="V266" s="66"/>
      <c r="W266" s="66"/>
      <c r="X266" s="66"/>
      <c r="Y266" s="66"/>
      <c r="Z266" s="66"/>
    </row>
    <row r="267" spans="1:26" ht="99.9" hidden="1" customHeight="1" x14ac:dyDescent="0.3">
      <c r="A267" s="66" t="s">
        <v>1731</v>
      </c>
      <c r="B267" s="66" t="s">
        <v>1579</v>
      </c>
      <c r="C267" s="66">
        <v>11</v>
      </c>
      <c r="D267" s="66" t="s">
        <v>1526</v>
      </c>
      <c r="E267" s="66" t="s">
        <v>1534</v>
      </c>
      <c r="F267" s="66" t="s">
        <v>1580</v>
      </c>
      <c r="G267" s="66" t="s">
        <v>1077</v>
      </c>
      <c r="H267" s="66" t="s">
        <v>1581</v>
      </c>
      <c r="I267" s="66" t="s">
        <v>1594</v>
      </c>
      <c r="J267" s="66" t="s">
        <v>1595</v>
      </c>
      <c r="K267" s="66">
        <v>4</v>
      </c>
      <c r="L267" s="66">
        <v>16</v>
      </c>
      <c r="M267" s="66" t="s">
        <v>1093</v>
      </c>
      <c r="N267" s="66"/>
      <c r="O267" s="66" t="s">
        <v>1732</v>
      </c>
      <c r="P267" s="66" t="s">
        <v>1585</v>
      </c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99.9" hidden="1" customHeight="1" x14ac:dyDescent="0.3">
      <c r="A268" s="66" t="s">
        <v>1733</v>
      </c>
      <c r="B268" s="66" t="s">
        <v>117</v>
      </c>
      <c r="C268" s="66">
        <v>8.4</v>
      </c>
      <c r="D268" s="66" t="s">
        <v>1526</v>
      </c>
      <c r="E268" s="66" t="s">
        <v>363</v>
      </c>
      <c r="F268" s="66"/>
      <c r="G268" s="66" t="s">
        <v>1090</v>
      </c>
      <c r="H268" s="66" t="s">
        <v>1078</v>
      </c>
      <c r="I268" s="66" t="s">
        <v>1734</v>
      </c>
      <c r="J268" s="66" t="s">
        <v>1080</v>
      </c>
      <c r="K268" s="66">
        <v>4</v>
      </c>
      <c r="L268" s="66">
        <v>16</v>
      </c>
      <c r="M268" s="66" t="s">
        <v>1093</v>
      </c>
      <c r="N268" s="66"/>
      <c r="O268" s="66" t="s">
        <v>1735</v>
      </c>
      <c r="P268" s="66" t="s">
        <v>1409</v>
      </c>
      <c r="Q268" s="66"/>
      <c r="R268" s="66"/>
      <c r="S268" s="66"/>
      <c r="T268" s="66"/>
      <c r="U268" s="66" t="s">
        <v>1612</v>
      </c>
      <c r="V268" s="66"/>
      <c r="W268" s="66"/>
      <c r="X268" s="66"/>
      <c r="Y268" s="66"/>
      <c r="Z268" s="66"/>
    </row>
    <row r="269" spans="1:26" ht="99.9" hidden="1" customHeight="1" x14ac:dyDescent="0.3">
      <c r="A269" s="66" t="s">
        <v>1736</v>
      </c>
      <c r="B269" s="66" t="s">
        <v>117</v>
      </c>
      <c r="C269" s="66">
        <v>8.4</v>
      </c>
      <c r="D269" s="66" t="s">
        <v>1526</v>
      </c>
      <c r="E269" s="66" t="s">
        <v>363</v>
      </c>
      <c r="F269" s="66" t="s">
        <v>1609</v>
      </c>
      <c r="G269" s="66" t="s">
        <v>1077</v>
      </c>
      <c r="H269" s="66" t="s">
        <v>1078</v>
      </c>
      <c r="I269" s="66" t="s">
        <v>1610</v>
      </c>
      <c r="J269" s="66" t="s">
        <v>1080</v>
      </c>
      <c r="K269" s="66">
        <v>2</v>
      </c>
      <c r="L269" s="66">
        <v>8</v>
      </c>
      <c r="M269" s="66" t="s">
        <v>1081</v>
      </c>
      <c r="N269" s="66"/>
      <c r="O269" s="66" t="s">
        <v>1737</v>
      </c>
      <c r="P269" s="66"/>
      <c r="Q269" s="66"/>
      <c r="R269" s="66"/>
      <c r="S269" s="66"/>
      <c r="T269" s="66"/>
      <c r="U269" s="66" t="s">
        <v>1612</v>
      </c>
      <c r="V269" s="66"/>
      <c r="W269" s="66"/>
      <c r="X269" s="66"/>
      <c r="Y269" s="66"/>
      <c r="Z269" s="66"/>
    </row>
    <row r="270" spans="1:26" ht="99.9" customHeight="1" x14ac:dyDescent="0.3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99.9" customHeight="1" x14ac:dyDescent="0.3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99.9" customHeight="1" x14ac:dyDescent="0.3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99.9" customHeight="1" x14ac:dyDescent="0.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99.9" customHeight="1" x14ac:dyDescent="0.3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99.9" customHeight="1" x14ac:dyDescent="0.3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99.9" customHeight="1" x14ac:dyDescent="0.3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99.9" customHeight="1" x14ac:dyDescent="0.3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99.9" customHeight="1" x14ac:dyDescent="0.3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99.9" customHeight="1" x14ac:dyDescent="0.3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99.9" hidden="1" customHeight="1" x14ac:dyDescent="0.3">
      <c r="A280" s="66" t="s">
        <v>1738</v>
      </c>
      <c r="B280" s="66" t="s">
        <v>117</v>
      </c>
      <c r="C280" s="66">
        <v>8.4</v>
      </c>
      <c r="D280" s="66" t="s">
        <v>1526</v>
      </c>
      <c r="E280" s="66" t="s">
        <v>363</v>
      </c>
      <c r="F280" s="66" t="s">
        <v>1076</v>
      </c>
      <c r="G280" s="66" t="s">
        <v>1077</v>
      </c>
      <c r="H280" s="66" t="s">
        <v>1078</v>
      </c>
      <c r="I280" s="66" t="s">
        <v>1079</v>
      </c>
      <c r="J280" s="66" t="s">
        <v>1080</v>
      </c>
      <c r="K280" s="66">
        <v>2</v>
      </c>
      <c r="L280" s="66">
        <v>8</v>
      </c>
      <c r="M280" s="66" t="s">
        <v>1081</v>
      </c>
      <c r="N280" s="66"/>
      <c r="O280" s="66" t="s">
        <v>1739</v>
      </c>
      <c r="P280" s="66"/>
      <c r="Q280" s="66"/>
      <c r="R280" s="66"/>
      <c r="S280" s="66"/>
      <c r="T280" s="66"/>
      <c r="U280" s="66" t="s">
        <v>1612</v>
      </c>
      <c r="V280" s="66"/>
      <c r="W280" s="66"/>
      <c r="X280" s="66"/>
      <c r="Y280" s="66"/>
      <c r="Z280" s="66"/>
    </row>
    <row r="281" spans="1:26" ht="99.9" customHeight="1" x14ac:dyDescent="0.3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99.9" customHeight="1" x14ac:dyDescent="0.3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99.9" customHeight="1" x14ac:dyDescent="0.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99.9" customHeight="1" x14ac:dyDescent="0.3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99.9" customHeight="1" x14ac:dyDescent="0.3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99.9" customHeight="1" x14ac:dyDescent="0.3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99.9" customHeight="1" x14ac:dyDescent="0.3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99.9" customHeight="1" x14ac:dyDescent="0.3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99.9" customHeight="1" x14ac:dyDescent="0.3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99.9" customHeight="1" x14ac:dyDescent="0.3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99.9" hidden="1" customHeight="1" x14ac:dyDescent="0.3">
      <c r="A291" s="66" t="s">
        <v>1740</v>
      </c>
      <c r="B291" s="66" t="s">
        <v>117</v>
      </c>
      <c r="C291" s="66">
        <v>8.4</v>
      </c>
      <c r="D291" s="66" t="s">
        <v>1526</v>
      </c>
      <c r="E291" s="66" t="s">
        <v>363</v>
      </c>
      <c r="F291" s="66" t="s">
        <v>1085</v>
      </c>
      <c r="G291" s="66" t="s">
        <v>1077</v>
      </c>
      <c r="H291" s="66" t="s">
        <v>1078</v>
      </c>
      <c r="I291" s="66" t="s">
        <v>1086</v>
      </c>
      <c r="J291" s="66" t="s">
        <v>1080</v>
      </c>
      <c r="K291" s="66">
        <v>2</v>
      </c>
      <c r="L291" s="66">
        <v>8</v>
      </c>
      <c r="M291" s="66" t="s">
        <v>1081</v>
      </c>
      <c r="N291" s="66"/>
      <c r="O291" s="66" t="s">
        <v>1741</v>
      </c>
      <c r="P291" s="66"/>
      <c r="Q291" s="66"/>
      <c r="R291" s="66"/>
      <c r="S291" s="66"/>
      <c r="T291" s="66"/>
      <c r="U291" s="66" t="s">
        <v>1612</v>
      </c>
      <c r="V291" s="66"/>
      <c r="W291" s="66"/>
      <c r="X291" s="66"/>
      <c r="Y291" s="66"/>
      <c r="Z291" s="66"/>
    </row>
    <row r="292" spans="1:26" ht="99.9" customHeight="1" x14ac:dyDescent="0.3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99.9" customHeight="1" x14ac:dyDescent="0.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99.9" customHeight="1" x14ac:dyDescent="0.3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99.9" customHeight="1" x14ac:dyDescent="0.3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99.9" customHeight="1" x14ac:dyDescent="0.3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99.9" customHeight="1" x14ac:dyDescent="0.3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99.9" customHeight="1" x14ac:dyDescent="0.3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99.9" customHeight="1" x14ac:dyDescent="0.3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99.9" customHeight="1" x14ac:dyDescent="0.3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99.9" customHeight="1" x14ac:dyDescent="0.3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99.9" hidden="1" customHeight="1" x14ac:dyDescent="0.3">
      <c r="A302" s="66" t="s">
        <v>1742</v>
      </c>
      <c r="B302" s="66" t="s">
        <v>117</v>
      </c>
      <c r="C302" s="66">
        <v>8.4</v>
      </c>
      <c r="D302" s="66" t="s">
        <v>1526</v>
      </c>
      <c r="E302" s="66" t="s">
        <v>363</v>
      </c>
      <c r="F302" s="66" t="s">
        <v>1743</v>
      </c>
      <c r="G302" s="66" t="s">
        <v>1077</v>
      </c>
      <c r="H302" s="66" t="s">
        <v>1078</v>
      </c>
      <c r="I302" s="66" t="s">
        <v>1744</v>
      </c>
      <c r="J302" s="66" t="s">
        <v>1080</v>
      </c>
      <c r="K302" s="66">
        <v>2</v>
      </c>
      <c r="L302" s="66">
        <v>8</v>
      </c>
      <c r="M302" s="66" t="s">
        <v>1081</v>
      </c>
      <c r="N302" s="66"/>
      <c r="O302" s="66" t="s">
        <v>1745</v>
      </c>
      <c r="P302" s="66"/>
      <c r="Q302" s="66"/>
      <c r="R302" s="66"/>
      <c r="S302" s="66"/>
      <c r="T302" s="66"/>
      <c r="U302" s="66" t="s">
        <v>1612</v>
      </c>
      <c r="V302" s="66"/>
      <c r="W302" s="66"/>
      <c r="X302" s="66"/>
      <c r="Y302" s="66"/>
      <c r="Z302" s="66"/>
    </row>
    <row r="303" spans="1:26" ht="99.9" customHeight="1" x14ac:dyDescent="0.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99.9" customHeight="1" x14ac:dyDescent="0.3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99.9" customHeight="1" x14ac:dyDescent="0.3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99.9" customHeight="1" x14ac:dyDescent="0.3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99.9" customHeight="1" x14ac:dyDescent="0.3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99.9" customHeight="1" x14ac:dyDescent="0.3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99.9" customHeight="1" x14ac:dyDescent="0.3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99.9" customHeight="1" x14ac:dyDescent="0.3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99.9" customHeight="1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99.9" customHeight="1" x14ac:dyDescent="0.3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99.9" hidden="1" customHeight="1" x14ac:dyDescent="0.3">
      <c r="A313" s="66" t="s">
        <v>1746</v>
      </c>
      <c r="B313" s="66" t="s">
        <v>117</v>
      </c>
      <c r="C313" s="66">
        <v>8.4</v>
      </c>
      <c r="D313" s="66" t="s">
        <v>1526</v>
      </c>
      <c r="E313" s="66" t="s">
        <v>363</v>
      </c>
      <c r="F313" s="66" t="s">
        <v>1089</v>
      </c>
      <c r="G313" s="66" t="s">
        <v>1090</v>
      </c>
      <c r="H313" s="66" t="s">
        <v>1078</v>
      </c>
      <c r="I313" s="66" t="s">
        <v>1091</v>
      </c>
      <c r="J313" s="66" t="s">
        <v>1092</v>
      </c>
      <c r="K313" s="66">
        <v>8</v>
      </c>
      <c r="L313" s="66">
        <v>16</v>
      </c>
      <c r="M313" s="66" t="s">
        <v>1093</v>
      </c>
      <c r="N313" s="66"/>
      <c r="O313" s="66" t="s">
        <v>1747</v>
      </c>
      <c r="P313" s="66" t="s">
        <v>1095</v>
      </c>
      <c r="Q313" s="66"/>
      <c r="R313" s="66"/>
      <c r="S313" s="66"/>
      <c r="T313" s="66"/>
      <c r="U313" s="66" t="s">
        <v>1601</v>
      </c>
      <c r="V313" s="66"/>
      <c r="W313" s="66"/>
      <c r="X313" s="66"/>
      <c r="Y313" s="66"/>
      <c r="Z313" s="66"/>
    </row>
    <row r="314" spans="1:26" ht="99.9" hidden="1" customHeight="1" x14ac:dyDescent="0.3">
      <c r="A314" s="66" t="s">
        <v>1748</v>
      </c>
      <c r="B314" s="66" t="s">
        <v>117</v>
      </c>
      <c r="C314" s="66">
        <v>8.4</v>
      </c>
      <c r="D314" s="66" t="s">
        <v>1526</v>
      </c>
      <c r="E314" s="66" t="s">
        <v>363</v>
      </c>
      <c r="F314" s="66" t="s">
        <v>1089</v>
      </c>
      <c r="G314" s="66" t="s">
        <v>1090</v>
      </c>
      <c r="H314" s="66" t="s">
        <v>1078</v>
      </c>
      <c r="I314" s="66" t="s">
        <v>1091</v>
      </c>
      <c r="J314" s="66" t="s">
        <v>1092</v>
      </c>
      <c r="K314" s="66">
        <v>8</v>
      </c>
      <c r="L314" s="66">
        <v>16</v>
      </c>
      <c r="M314" s="66" t="s">
        <v>1093</v>
      </c>
      <c r="N314" s="66"/>
      <c r="O314" s="66" t="s">
        <v>1749</v>
      </c>
      <c r="P314" s="66" t="s">
        <v>1095</v>
      </c>
      <c r="Q314" s="66"/>
      <c r="R314" s="66"/>
      <c r="S314" s="66"/>
      <c r="T314" s="66"/>
      <c r="U314" s="66" t="s">
        <v>1601</v>
      </c>
      <c r="V314" s="66"/>
      <c r="W314" s="66"/>
      <c r="X314" s="66"/>
      <c r="Y314" s="66"/>
      <c r="Z314" s="66"/>
    </row>
    <row r="315" spans="1:26" ht="99.9" hidden="1" customHeight="1" x14ac:dyDescent="0.3">
      <c r="A315" s="66" t="s">
        <v>1750</v>
      </c>
      <c r="B315" s="66" t="s">
        <v>117</v>
      </c>
      <c r="C315" s="66">
        <v>8.4</v>
      </c>
      <c r="D315" s="66" t="s">
        <v>1526</v>
      </c>
      <c r="E315" s="66" t="s">
        <v>363</v>
      </c>
      <c r="F315" s="66" t="s">
        <v>1089</v>
      </c>
      <c r="G315" s="66" t="s">
        <v>1090</v>
      </c>
      <c r="H315" s="66" t="s">
        <v>1078</v>
      </c>
      <c r="I315" s="66" t="s">
        <v>1091</v>
      </c>
      <c r="J315" s="66" t="s">
        <v>1092</v>
      </c>
      <c r="K315" s="66">
        <v>8</v>
      </c>
      <c r="L315" s="66">
        <v>16</v>
      </c>
      <c r="M315" s="66" t="s">
        <v>1093</v>
      </c>
      <c r="N315" s="66"/>
      <c r="O315" s="66" t="s">
        <v>1751</v>
      </c>
      <c r="P315" s="66" t="s">
        <v>1095</v>
      </c>
      <c r="Q315" s="66"/>
      <c r="R315" s="66"/>
      <c r="S315" s="66"/>
      <c r="T315" s="66"/>
      <c r="U315" s="66" t="s">
        <v>1601</v>
      </c>
      <c r="V315" s="66"/>
      <c r="W315" s="66"/>
      <c r="X315" s="66"/>
      <c r="Y315" s="66"/>
      <c r="Z315" s="66"/>
    </row>
    <row r="316" spans="1:26" ht="99.9" hidden="1" customHeight="1" x14ac:dyDescent="0.3">
      <c r="A316" s="66" t="s">
        <v>1752</v>
      </c>
      <c r="B316" s="66" t="s">
        <v>117</v>
      </c>
      <c r="C316" s="66">
        <v>8.4</v>
      </c>
      <c r="D316" s="66" t="s">
        <v>1526</v>
      </c>
      <c r="E316" s="66" t="s">
        <v>363</v>
      </c>
      <c r="F316" s="66" t="s">
        <v>1089</v>
      </c>
      <c r="G316" s="66" t="s">
        <v>1090</v>
      </c>
      <c r="H316" s="66" t="s">
        <v>1078</v>
      </c>
      <c r="I316" s="66" t="s">
        <v>1091</v>
      </c>
      <c r="J316" s="66" t="s">
        <v>1092</v>
      </c>
      <c r="K316" s="66">
        <v>8</v>
      </c>
      <c r="L316" s="66">
        <v>16</v>
      </c>
      <c r="M316" s="66" t="s">
        <v>1093</v>
      </c>
      <c r="N316" s="66"/>
      <c r="O316" s="66" t="s">
        <v>1753</v>
      </c>
      <c r="P316" s="66" t="s">
        <v>1095</v>
      </c>
      <c r="Q316" s="66"/>
      <c r="R316" s="66"/>
      <c r="S316" s="66"/>
      <c r="T316" s="66"/>
      <c r="U316" s="66" t="s">
        <v>1601</v>
      </c>
      <c r="V316" s="66"/>
      <c r="W316" s="66"/>
      <c r="X316" s="66"/>
      <c r="Y316" s="66"/>
      <c r="Z316" s="66"/>
    </row>
    <row r="317" spans="1:26" ht="99.9" hidden="1" customHeight="1" x14ac:dyDescent="0.3">
      <c r="A317" s="66" t="s">
        <v>1754</v>
      </c>
      <c r="B317" s="66" t="s">
        <v>117</v>
      </c>
      <c r="C317" s="66">
        <v>8.4</v>
      </c>
      <c r="D317" s="66" t="s">
        <v>1526</v>
      </c>
      <c r="E317" s="66" t="s">
        <v>363</v>
      </c>
      <c r="F317" s="66" t="s">
        <v>1089</v>
      </c>
      <c r="G317" s="66" t="s">
        <v>1090</v>
      </c>
      <c r="H317" s="66" t="s">
        <v>1078</v>
      </c>
      <c r="I317" s="66" t="s">
        <v>1112</v>
      </c>
      <c r="J317" s="66" t="s">
        <v>1092</v>
      </c>
      <c r="K317" s="66">
        <v>8</v>
      </c>
      <c r="L317" s="66">
        <v>16</v>
      </c>
      <c r="M317" s="66" t="s">
        <v>1093</v>
      </c>
      <c r="N317" s="66"/>
      <c r="O317" s="66" t="s">
        <v>1755</v>
      </c>
      <c r="P317" s="66" t="s">
        <v>1095</v>
      </c>
      <c r="Q317" s="66"/>
      <c r="R317" s="66"/>
      <c r="S317" s="66"/>
      <c r="T317" s="66"/>
      <c r="U317" s="66" t="s">
        <v>1601</v>
      </c>
      <c r="V317" s="66"/>
      <c r="W317" s="66"/>
      <c r="X317" s="66"/>
      <c r="Y317" s="66"/>
      <c r="Z317" s="66"/>
    </row>
    <row r="318" spans="1:26" ht="99.9" hidden="1" customHeight="1" x14ac:dyDescent="0.3">
      <c r="A318" s="66" t="s">
        <v>1756</v>
      </c>
      <c r="B318" s="66" t="s">
        <v>117</v>
      </c>
      <c r="C318" s="66">
        <v>8.4</v>
      </c>
      <c r="D318" s="66" t="s">
        <v>1526</v>
      </c>
      <c r="E318" s="66" t="s">
        <v>363</v>
      </c>
      <c r="F318" s="66" t="s">
        <v>1089</v>
      </c>
      <c r="G318" s="66" t="s">
        <v>1090</v>
      </c>
      <c r="H318" s="66" t="s">
        <v>1078</v>
      </c>
      <c r="I318" s="66" t="s">
        <v>1112</v>
      </c>
      <c r="J318" s="66" t="s">
        <v>1092</v>
      </c>
      <c r="K318" s="66">
        <v>8</v>
      </c>
      <c r="L318" s="66">
        <v>16</v>
      </c>
      <c r="M318" s="66" t="s">
        <v>1093</v>
      </c>
      <c r="N318" s="66"/>
      <c r="O318" s="66" t="s">
        <v>1757</v>
      </c>
      <c r="P318" s="66" t="s">
        <v>1095</v>
      </c>
      <c r="Q318" s="66"/>
      <c r="R318" s="66"/>
      <c r="S318" s="66"/>
      <c r="T318" s="66"/>
      <c r="U318" s="66" t="s">
        <v>1601</v>
      </c>
      <c r="V318" s="66"/>
      <c r="W318" s="66"/>
      <c r="X318" s="66"/>
      <c r="Y318" s="66"/>
      <c r="Z318" s="66"/>
    </row>
    <row r="319" spans="1:26" ht="99.9" hidden="1" customHeight="1" x14ac:dyDescent="0.3">
      <c r="A319" s="66" t="s">
        <v>1758</v>
      </c>
      <c r="B319" s="66" t="s">
        <v>117</v>
      </c>
      <c r="C319" s="66">
        <v>8.4</v>
      </c>
      <c r="D319" s="66" t="s">
        <v>1526</v>
      </c>
      <c r="E319" s="66" t="s">
        <v>363</v>
      </c>
      <c r="F319" s="66" t="s">
        <v>1117</v>
      </c>
      <c r="G319" s="66" t="s">
        <v>1090</v>
      </c>
      <c r="H319" s="66" t="s">
        <v>1118</v>
      </c>
      <c r="I319" s="66" t="s">
        <v>1119</v>
      </c>
      <c r="J319" s="66" t="s">
        <v>1120</v>
      </c>
      <c r="K319" s="66">
        <v>8</v>
      </c>
      <c r="L319" s="66">
        <v>128</v>
      </c>
      <c r="M319" s="66" t="s">
        <v>1093</v>
      </c>
      <c r="N319" s="66"/>
      <c r="O319" s="66" t="s">
        <v>1759</v>
      </c>
      <c r="P319" s="66" t="s">
        <v>1122</v>
      </c>
      <c r="Q319" s="66" t="s">
        <v>1760</v>
      </c>
      <c r="R319" s="66" t="s">
        <v>1124</v>
      </c>
      <c r="S319" s="66"/>
      <c r="T319" s="66"/>
      <c r="U319" s="66" t="s">
        <v>1125</v>
      </c>
      <c r="V319" s="66"/>
      <c r="W319" s="66"/>
      <c r="X319" s="66"/>
      <c r="Y319" s="66"/>
      <c r="Z319" s="66"/>
    </row>
    <row r="320" spans="1:26" ht="99.9" hidden="1" customHeight="1" x14ac:dyDescent="0.3">
      <c r="A320" s="66" t="s">
        <v>1761</v>
      </c>
      <c r="B320" s="66" t="s">
        <v>117</v>
      </c>
      <c r="C320" s="66">
        <v>8.4</v>
      </c>
      <c r="D320" s="66" t="s">
        <v>1526</v>
      </c>
      <c r="E320" s="66" t="s">
        <v>363</v>
      </c>
      <c r="F320" s="66" t="s">
        <v>1117</v>
      </c>
      <c r="G320" s="66" t="s">
        <v>1090</v>
      </c>
      <c r="H320" s="66" t="s">
        <v>1118</v>
      </c>
      <c r="I320" s="66" t="s">
        <v>1119</v>
      </c>
      <c r="J320" s="66" t="s">
        <v>1120</v>
      </c>
      <c r="K320" s="66">
        <v>8</v>
      </c>
      <c r="L320" s="66">
        <v>128</v>
      </c>
      <c r="M320" s="66" t="s">
        <v>1093</v>
      </c>
      <c r="N320" s="66"/>
      <c r="O320" s="66" t="s">
        <v>1762</v>
      </c>
      <c r="P320" s="66" t="s">
        <v>1122</v>
      </c>
      <c r="Q320" s="66" t="s">
        <v>1760</v>
      </c>
      <c r="R320" s="66" t="s">
        <v>1124</v>
      </c>
      <c r="S320" s="66"/>
      <c r="T320" s="66"/>
      <c r="U320" s="66" t="s">
        <v>1125</v>
      </c>
      <c r="V320" s="66"/>
      <c r="W320" s="66"/>
      <c r="X320" s="66"/>
      <c r="Y320" s="66"/>
      <c r="Z320" s="66"/>
    </row>
    <row r="321" spans="1:26" ht="99.9" hidden="1" customHeight="1" x14ac:dyDescent="0.3">
      <c r="A321" s="66" t="s">
        <v>1763</v>
      </c>
      <c r="B321" s="66" t="s">
        <v>117</v>
      </c>
      <c r="C321" s="66">
        <v>8.4</v>
      </c>
      <c r="D321" s="66" t="s">
        <v>1526</v>
      </c>
      <c r="E321" s="66" t="s">
        <v>363</v>
      </c>
      <c r="F321" s="66" t="s">
        <v>1117</v>
      </c>
      <c r="G321" s="66" t="s">
        <v>1090</v>
      </c>
      <c r="H321" s="66" t="s">
        <v>1118</v>
      </c>
      <c r="I321" s="66" t="s">
        <v>1119</v>
      </c>
      <c r="J321" s="66" t="s">
        <v>1120</v>
      </c>
      <c r="K321" s="66">
        <v>8</v>
      </c>
      <c r="L321" s="66">
        <v>128</v>
      </c>
      <c r="M321" s="66" t="s">
        <v>1093</v>
      </c>
      <c r="N321" s="66"/>
      <c r="O321" s="66" t="s">
        <v>1764</v>
      </c>
      <c r="P321" s="66" t="s">
        <v>1122</v>
      </c>
      <c r="Q321" s="66" t="s">
        <v>1760</v>
      </c>
      <c r="R321" s="66" t="s">
        <v>1124</v>
      </c>
      <c r="S321" s="66"/>
      <c r="T321" s="66"/>
      <c r="U321" s="66" t="s">
        <v>1125</v>
      </c>
      <c r="V321" s="66"/>
      <c r="W321" s="66"/>
      <c r="X321" s="66"/>
      <c r="Y321" s="66"/>
      <c r="Z321" s="66"/>
    </row>
    <row r="322" spans="1:26" ht="99.9" hidden="1" customHeight="1" x14ac:dyDescent="0.3">
      <c r="A322" s="66" t="s">
        <v>1765</v>
      </c>
      <c r="B322" s="66" t="s">
        <v>117</v>
      </c>
      <c r="C322" s="66">
        <v>8.4</v>
      </c>
      <c r="D322" s="66" t="s">
        <v>1526</v>
      </c>
      <c r="E322" s="66" t="s">
        <v>363</v>
      </c>
      <c r="F322" s="66" t="s">
        <v>1117</v>
      </c>
      <c r="G322" s="66" t="s">
        <v>1090</v>
      </c>
      <c r="H322" s="66" t="s">
        <v>1118</v>
      </c>
      <c r="I322" s="66" t="s">
        <v>1119</v>
      </c>
      <c r="J322" s="66" t="s">
        <v>1120</v>
      </c>
      <c r="K322" s="66">
        <v>8</v>
      </c>
      <c r="L322" s="66">
        <v>128</v>
      </c>
      <c r="M322" s="66" t="s">
        <v>1093</v>
      </c>
      <c r="N322" s="66"/>
      <c r="O322" s="66" t="s">
        <v>1766</v>
      </c>
      <c r="P322" s="66" t="s">
        <v>1122</v>
      </c>
      <c r="Q322" s="66" t="s">
        <v>1760</v>
      </c>
      <c r="R322" s="66" t="s">
        <v>1124</v>
      </c>
      <c r="S322" s="66"/>
      <c r="T322" s="66"/>
      <c r="U322" s="66" t="s">
        <v>1125</v>
      </c>
      <c r="V322" s="66"/>
      <c r="W322" s="66"/>
      <c r="X322" s="66"/>
      <c r="Y322" s="66"/>
      <c r="Z322" s="66"/>
    </row>
    <row r="323" spans="1:26" ht="99.9" hidden="1" customHeight="1" x14ac:dyDescent="0.3">
      <c r="A323" s="66" t="s">
        <v>1767</v>
      </c>
      <c r="B323" s="66" t="s">
        <v>117</v>
      </c>
      <c r="C323" s="66">
        <v>8.4</v>
      </c>
      <c r="D323" s="66" t="s">
        <v>1526</v>
      </c>
      <c r="E323" s="66" t="s">
        <v>363</v>
      </c>
      <c r="F323" s="66" t="s">
        <v>1117</v>
      </c>
      <c r="G323" s="66" t="s">
        <v>1090</v>
      </c>
      <c r="H323" s="66" t="s">
        <v>1118</v>
      </c>
      <c r="I323" s="66" t="s">
        <v>1119</v>
      </c>
      <c r="J323" s="66" t="s">
        <v>1120</v>
      </c>
      <c r="K323" s="66">
        <v>8</v>
      </c>
      <c r="L323" s="66">
        <v>128</v>
      </c>
      <c r="M323" s="66" t="s">
        <v>1093</v>
      </c>
      <c r="N323" s="66"/>
      <c r="O323" s="66" t="s">
        <v>1768</v>
      </c>
      <c r="P323" s="66" t="s">
        <v>1122</v>
      </c>
      <c r="Q323" s="66" t="s">
        <v>1760</v>
      </c>
      <c r="R323" s="66" t="s">
        <v>1124</v>
      </c>
      <c r="S323" s="66"/>
      <c r="T323" s="66"/>
      <c r="U323" s="66" t="s">
        <v>1125</v>
      </c>
      <c r="V323" s="66"/>
      <c r="W323" s="66"/>
      <c r="X323" s="66"/>
      <c r="Y323" s="66"/>
      <c r="Z323" s="66"/>
    </row>
    <row r="324" spans="1:26" ht="99.9" hidden="1" customHeight="1" x14ac:dyDescent="0.3">
      <c r="A324" s="66" t="s">
        <v>1769</v>
      </c>
      <c r="B324" s="66" t="s">
        <v>117</v>
      </c>
      <c r="C324" s="66">
        <v>8.4</v>
      </c>
      <c r="D324" s="66" t="s">
        <v>1526</v>
      </c>
      <c r="E324" s="66" t="s">
        <v>363</v>
      </c>
      <c r="F324" s="66" t="s">
        <v>1135</v>
      </c>
      <c r="G324" s="66" t="s">
        <v>1090</v>
      </c>
      <c r="H324" s="66" t="s">
        <v>1136</v>
      </c>
      <c r="I324" s="66" t="s">
        <v>1137</v>
      </c>
      <c r="J324" s="66"/>
      <c r="K324" s="66">
        <v>8</v>
      </c>
      <c r="L324" s="66">
        <v>32</v>
      </c>
      <c r="M324" s="66" t="s">
        <v>1093</v>
      </c>
      <c r="N324" s="66"/>
      <c r="O324" s="66" t="s">
        <v>1770</v>
      </c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99.9" hidden="1" customHeight="1" x14ac:dyDescent="0.3">
      <c r="A325" s="66" t="s">
        <v>1771</v>
      </c>
      <c r="B325" s="66" t="s">
        <v>117</v>
      </c>
      <c r="C325" s="66">
        <v>8.4</v>
      </c>
      <c r="D325" s="66" t="s">
        <v>1526</v>
      </c>
      <c r="E325" s="66" t="s">
        <v>363</v>
      </c>
      <c r="F325" s="66" t="s">
        <v>1141</v>
      </c>
      <c r="G325" s="66" t="s">
        <v>1090</v>
      </c>
      <c r="H325" s="66" t="s">
        <v>1142</v>
      </c>
      <c r="I325" s="66" t="s">
        <v>1143</v>
      </c>
      <c r="J325" s="66"/>
      <c r="K325" s="66">
        <v>8</v>
      </c>
      <c r="L325" s="66">
        <v>32</v>
      </c>
      <c r="M325" s="66" t="s">
        <v>1093</v>
      </c>
      <c r="N325" s="66"/>
      <c r="O325" s="66" t="s">
        <v>1772</v>
      </c>
      <c r="P325" s="66"/>
      <c r="Q325" s="66"/>
      <c r="R325" s="66" t="s">
        <v>1145</v>
      </c>
      <c r="S325" s="66"/>
      <c r="T325" s="66"/>
      <c r="U325" s="66"/>
      <c r="V325" s="66"/>
      <c r="W325" s="66"/>
      <c r="X325" s="66"/>
      <c r="Y325" s="66"/>
      <c r="Z325" s="66"/>
    </row>
    <row r="326" spans="1:26" ht="99.9" hidden="1" customHeight="1" x14ac:dyDescent="0.3">
      <c r="A326" s="66" t="s">
        <v>1773</v>
      </c>
      <c r="B326" s="66" t="s">
        <v>117</v>
      </c>
      <c r="C326" s="66">
        <v>8.4</v>
      </c>
      <c r="D326" s="66" t="s">
        <v>1526</v>
      </c>
      <c r="E326" s="66" t="s">
        <v>363</v>
      </c>
      <c r="F326" s="66" t="s">
        <v>1141</v>
      </c>
      <c r="G326" s="66" t="s">
        <v>1090</v>
      </c>
      <c r="H326" s="66" t="s">
        <v>1142</v>
      </c>
      <c r="I326" s="66" t="s">
        <v>1147</v>
      </c>
      <c r="J326" s="66"/>
      <c r="K326" s="66">
        <v>8</v>
      </c>
      <c r="L326" s="66">
        <v>32</v>
      </c>
      <c r="M326" s="66" t="s">
        <v>1093</v>
      </c>
      <c r="N326" s="66"/>
      <c r="O326" s="66" t="s">
        <v>1774</v>
      </c>
      <c r="P326" s="66"/>
      <c r="Q326" s="66"/>
      <c r="R326" s="66" t="s">
        <v>1145</v>
      </c>
      <c r="S326" s="66"/>
      <c r="T326" s="66"/>
      <c r="U326" s="66"/>
      <c r="V326" s="66"/>
      <c r="W326" s="66"/>
      <c r="X326" s="66"/>
      <c r="Y326" s="66"/>
      <c r="Z326" s="66"/>
    </row>
    <row r="327" spans="1:26" ht="99.9" hidden="1" customHeight="1" x14ac:dyDescent="0.3">
      <c r="A327" s="66" t="s">
        <v>1775</v>
      </c>
      <c r="B327" s="66" t="s">
        <v>117</v>
      </c>
      <c r="C327" s="66">
        <v>8.4</v>
      </c>
      <c r="D327" s="66" t="s">
        <v>1526</v>
      </c>
      <c r="E327" s="66" t="s">
        <v>363</v>
      </c>
      <c r="F327" s="66" t="s">
        <v>1141</v>
      </c>
      <c r="G327" s="66" t="s">
        <v>1090</v>
      </c>
      <c r="H327" s="66" t="s">
        <v>1142</v>
      </c>
      <c r="I327" s="66" t="s">
        <v>1150</v>
      </c>
      <c r="J327" s="66"/>
      <c r="K327" s="66">
        <v>8</v>
      </c>
      <c r="L327" s="66">
        <v>32</v>
      </c>
      <c r="M327" s="66" t="s">
        <v>1093</v>
      </c>
      <c r="N327" s="66"/>
      <c r="O327" s="66" t="s">
        <v>1776</v>
      </c>
      <c r="P327" s="66"/>
      <c r="Q327" s="66"/>
      <c r="R327" s="66" t="s">
        <v>1145</v>
      </c>
      <c r="S327" s="66"/>
      <c r="T327" s="66"/>
      <c r="U327" s="66"/>
      <c r="V327" s="66"/>
      <c r="W327" s="66"/>
      <c r="X327" s="66"/>
      <c r="Y327" s="66"/>
      <c r="Z327" s="66"/>
    </row>
    <row r="328" spans="1:26" ht="99.9" hidden="1" customHeight="1" x14ac:dyDescent="0.3">
      <c r="A328" s="66" t="s">
        <v>1777</v>
      </c>
      <c r="B328" s="66" t="s">
        <v>117</v>
      </c>
      <c r="C328" s="66">
        <v>8.4</v>
      </c>
      <c r="D328" s="66" t="s">
        <v>1526</v>
      </c>
      <c r="E328" s="66" t="s">
        <v>363</v>
      </c>
      <c r="F328" s="66" t="s">
        <v>1141</v>
      </c>
      <c r="G328" s="66" t="s">
        <v>1090</v>
      </c>
      <c r="H328" s="66" t="s">
        <v>1142</v>
      </c>
      <c r="I328" s="66" t="s">
        <v>1153</v>
      </c>
      <c r="J328" s="66"/>
      <c r="K328" s="66">
        <v>8</v>
      </c>
      <c r="L328" s="66">
        <v>32</v>
      </c>
      <c r="M328" s="66" t="s">
        <v>1093</v>
      </c>
      <c r="N328" s="66"/>
      <c r="O328" s="66" t="s">
        <v>1778</v>
      </c>
      <c r="P328" s="66"/>
      <c r="Q328" s="66"/>
      <c r="R328" s="66" t="s">
        <v>1145</v>
      </c>
      <c r="S328" s="66"/>
      <c r="T328" s="66"/>
      <c r="U328" s="66"/>
      <c r="V328" s="66"/>
      <c r="W328" s="66"/>
      <c r="X328" s="66"/>
      <c r="Y328" s="66"/>
      <c r="Z328" s="66"/>
    </row>
    <row r="329" spans="1:26" ht="99.9" hidden="1" customHeight="1" x14ac:dyDescent="0.3">
      <c r="A329" s="66" t="s">
        <v>1779</v>
      </c>
      <c r="B329" s="66" t="s">
        <v>117</v>
      </c>
      <c r="C329" s="66">
        <v>8.4</v>
      </c>
      <c r="D329" s="66" t="s">
        <v>1526</v>
      </c>
      <c r="E329" s="66" t="s">
        <v>363</v>
      </c>
      <c r="F329" s="66" t="s">
        <v>1141</v>
      </c>
      <c r="G329" s="66" t="s">
        <v>1090</v>
      </c>
      <c r="H329" s="66" t="s">
        <v>1142</v>
      </c>
      <c r="I329" s="66" t="s">
        <v>1156</v>
      </c>
      <c r="J329" s="66"/>
      <c r="K329" s="66">
        <v>8</v>
      </c>
      <c r="L329" s="66">
        <v>32</v>
      </c>
      <c r="M329" s="66" t="s">
        <v>1093</v>
      </c>
      <c r="N329" s="66"/>
      <c r="O329" s="66" t="s">
        <v>1780</v>
      </c>
      <c r="P329" s="66"/>
      <c r="Q329" s="66"/>
      <c r="R329" s="66" t="s">
        <v>1145</v>
      </c>
      <c r="S329" s="66"/>
      <c r="T329" s="66"/>
      <c r="U329" s="66"/>
      <c r="V329" s="66"/>
      <c r="W329" s="66"/>
      <c r="X329" s="66"/>
      <c r="Y329" s="66"/>
      <c r="Z329" s="66"/>
    </row>
    <row r="330" spans="1:26" ht="99.9" hidden="1" customHeight="1" x14ac:dyDescent="0.3">
      <c r="A330" s="66" t="s">
        <v>1781</v>
      </c>
      <c r="B330" s="66" t="s">
        <v>117</v>
      </c>
      <c r="C330" s="66">
        <v>8.4</v>
      </c>
      <c r="D330" s="66" t="s">
        <v>1526</v>
      </c>
      <c r="E330" s="66" t="s">
        <v>363</v>
      </c>
      <c r="F330" s="66" t="s">
        <v>1141</v>
      </c>
      <c r="G330" s="66" t="s">
        <v>1090</v>
      </c>
      <c r="H330" s="66" t="s">
        <v>1142</v>
      </c>
      <c r="I330" s="66" t="s">
        <v>1159</v>
      </c>
      <c r="J330" s="66"/>
      <c r="K330" s="66">
        <v>8</v>
      </c>
      <c r="L330" s="66">
        <v>32</v>
      </c>
      <c r="M330" s="66" t="s">
        <v>1093</v>
      </c>
      <c r="N330" s="66"/>
      <c r="O330" s="66" t="s">
        <v>1782</v>
      </c>
      <c r="P330" s="66"/>
      <c r="Q330" s="66"/>
      <c r="R330" s="66" t="s">
        <v>1145</v>
      </c>
      <c r="S330" s="66"/>
      <c r="T330" s="66"/>
      <c r="U330" s="66"/>
      <c r="V330" s="66"/>
      <c r="W330" s="66"/>
      <c r="X330" s="66"/>
      <c r="Y330" s="66"/>
      <c r="Z330" s="66"/>
    </row>
    <row r="331" spans="1:26" ht="99.9" hidden="1" customHeight="1" x14ac:dyDescent="0.3">
      <c r="A331" s="66" t="s">
        <v>1783</v>
      </c>
      <c r="B331" s="66" t="s">
        <v>117</v>
      </c>
      <c r="C331" s="66">
        <v>8.4</v>
      </c>
      <c r="D331" s="66" t="s">
        <v>1526</v>
      </c>
      <c r="E331" s="66" t="s">
        <v>363</v>
      </c>
      <c r="F331" s="66" t="s">
        <v>1135</v>
      </c>
      <c r="G331" s="66" t="s">
        <v>1090</v>
      </c>
      <c r="H331" s="66" t="s">
        <v>1162</v>
      </c>
      <c r="I331" s="66" t="s">
        <v>1163</v>
      </c>
      <c r="J331" s="66"/>
      <c r="K331" s="66">
        <v>4</v>
      </c>
      <c r="L331" s="66">
        <v>8</v>
      </c>
      <c r="M331" s="66" t="s">
        <v>1093</v>
      </c>
      <c r="N331" s="66"/>
      <c r="O331" s="66" t="s">
        <v>1784</v>
      </c>
      <c r="P331" s="66" t="s">
        <v>1165</v>
      </c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99.9" hidden="1" customHeight="1" x14ac:dyDescent="0.3">
      <c r="A332" s="66" t="s">
        <v>1785</v>
      </c>
      <c r="B332" s="66" t="s">
        <v>117</v>
      </c>
      <c r="C332" s="66">
        <v>8.4</v>
      </c>
      <c r="D332" s="66" t="s">
        <v>1526</v>
      </c>
      <c r="E332" s="66" t="s">
        <v>363</v>
      </c>
      <c r="F332" s="66" t="s">
        <v>1135</v>
      </c>
      <c r="G332" s="66" t="s">
        <v>1090</v>
      </c>
      <c r="H332" s="66" t="s">
        <v>1162</v>
      </c>
      <c r="I332" s="66" t="s">
        <v>1163</v>
      </c>
      <c r="J332" s="66"/>
      <c r="K332" s="66">
        <v>4</v>
      </c>
      <c r="L332" s="66">
        <v>8</v>
      </c>
      <c r="M332" s="66" t="s">
        <v>1093</v>
      </c>
      <c r="N332" s="66"/>
      <c r="O332" s="66" t="s">
        <v>1786</v>
      </c>
      <c r="P332" s="66" t="s">
        <v>1165</v>
      </c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99.9" hidden="1" customHeight="1" x14ac:dyDescent="0.3">
      <c r="A333" s="66" t="s">
        <v>1787</v>
      </c>
      <c r="B333" s="66" t="s">
        <v>117</v>
      </c>
      <c r="C333" s="66">
        <v>8.4</v>
      </c>
      <c r="D333" s="66" t="s">
        <v>1526</v>
      </c>
      <c r="E333" s="66" t="s">
        <v>363</v>
      </c>
      <c r="F333" s="66" t="s">
        <v>1135</v>
      </c>
      <c r="G333" s="66" t="s">
        <v>1090</v>
      </c>
      <c r="H333" s="66" t="s">
        <v>1169</v>
      </c>
      <c r="I333" s="66" t="s">
        <v>1170</v>
      </c>
      <c r="J333" s="66" t="s">
        <v>1171</v>
      </c>
      <c r="K333" s="66">
        <v>8</v>
      </c>
      <c r="L333" s="66">
        <v>64</v>
      </c>
      <c r="M333" s="66" t="s">
        <v>1093</v>
      </c>
      <c r="N333" s="66"/>
      <c r="O333" s="66" t="s">
        <v>1788</v>
      </c>
      <c r="P333" s="66" t="s">
        <v>1173</v>
      </c>
      <c r="Q333" s="66"/>
      <c r="R333" s="66"/>
      <c r="S333" s="66"/>
      <c r="T333" s="66"/>
      <c r="U333" s="66" t="s">
        <v>1656</v>
      </c>
      <c r="V333" s="66"/>
      <c r="W333" s="66"/>
      <c r="X333" s="66"/>
      <c r="Y333" s="66"/>
      <c r="Z333" s="66"/>
    </row>
    <row r="334" spans="1:26" ht="99.9" hidden="1" customHeight="1" x14ac:dyDescent="0.3">
      <c r="A334" s="66" t="s">
        <v>1789</v>
      </c>
      <c r="B334" s="66" t="s">
        <v>117</v>
      </c>
      <c r="C334" s="66">
        <v>8.4</v>
      </c>
      <c r="D334" s="66" t="s">
        <v>1526</v>
      </c>
      <c r="E334" s="66" t="s">
        <v>363</v>
      </c>
      <c r="F334" s="66" t="s">
        <v>1135</v>
      </c>
      <c r="G334" s="66" t="s">
        <v>1090</v>
      </c>
      <c r="H334" s="66" t="s">
        <v>1169</v>
      </c>
      <c r="I334" s="66" t="s">
        <v>1170</v>
      </c>
      <c r="J334" s="66" t="s">
        <v>1171</v>
      </c>
      <c r="K334" s="66">
        <v>8</v>
      </c>
      <c r="L334" s="66">
        <v>64</v>
      </c>
      <c r="M334" s="66" t="s">
        <v>1093</v>
      </c>
      <c r="N334" s="66"/>
      <c r="O334" s="66" t="s">
        <v>1790</v>
      </c>
      <c r="P334" s="66" t="s">
        <v>1173</v>
      </c>
      <c r="Q334" s="66"/>
      <c r="R334" s="66"/>
      <c r="S334" s="66"/>
      <c r="T334" s="66"/>
      <c r="U334" s="66" t="s">
        <v>1656</v>
      </c>
      <c r="V334" s="66"/>
      <c r="W334" s="66"/>
      <c r="X334" s="66"/>
      <c r="Y334" s="66"/>
      <c r="Z334" s="66"/>
    </row>
    <row r="335" spans="1:26" ht="99.9" hidden="1" customHeight="1" x14ac:dyDescent="0.3">
      <c r="A335" s="66" t="s">
        <v>1791</v>
      </c>
      <c r="B335" s="66" t="s">
        <v>117</v>
      </c>
      <c r="C335" s="66">
        <v>8.4</v>
      </c>
      <c r="D335" s="66" t="s">
        <v>1526</v>
      </c>
      <c r="E335" s="66" t="s">
        <v>363</v>
      </c>
      <c r="F335" s="66" t="s">
        <v>1135</v>
      </c>
      <c r="G335" s="66" t="s">
        <v>1090</v>
      </c>
      <c r="H335" s="66" t="s">
        <v>1169</v>
      </c>
      <c r="I335" s="66" t="s">
        <v>1178</v>
      </c>
      <c r="J335" s="66" t="s">
        <v>1171</v>
      </c>
      <c r="K335" s="66">
        <v>8</v>
      </c>
      <c r="L335" s="66">
        <v>64</v>
      </c>
      <c r="M335" s="66" t="s">
        <v>1093</v>
      </c>
      <c r="N335" s="66"/>
      <c r="O335" s="66" t="s">
        <v>1792</v>
      </c>
      <c r="P335" s="66" t="s">
        <v>1173</v>
      </c>
      <c r="Q335" s="66"/>
      <c r="R335" s="66"/>
      <c r="S335" s="66"/>
      <c r="T335" s="66"/>
      <c r="U335" s="66" t="s">
        <v>1656</v>
      </c>
      <c r="V335" s="66"/>
      <c r="W335" s="66"/>
      <c r="X335" s="66"/>
      <c r="Y335" s="66"/>
      <c r="Z335" s="66"/>
    </row>
    <row r="336" spans="1:26" ht="99.9" hidden="1" customHeight="1" x14ac:dyDescent="0.3">
      <c r="A336" s="66" t="s">
        <v>1793</v>
      </c>
      <c r="B336" s="66" t="s">
        <v>117</v>
      </c>
      <c r="C336" s="66">
        <v>8.4</v>
      </c>
      <c r="D336" s="66" t="s">
        <v>1526</v>
      </c>
      <c r="E336" s="66" t="s">
        <v>363</v>
      </c>
      <c r="F336" s="66" t="s">
        <v>1135</v>
      </c>
      <c r="G336" s="66" t="s">
        <v>1090</v>
      </c>
      <c r="H336" s="66" t="s">
        <v>1169</v>
      </c>
      <c r="I336" s="66" t="s">
        <v>1178</v>
      </c>
      <c r="J336" s="66" t="s">
        <v>1171</v>
      </c>
      <c r="K336" s="66">
        <v>8</v>
      </c>
      <c r="L336" s="66">
        <v>64</v>
      </c>
      <c r="M336" s="66" t="s">
        <v>1093</v>
      </c>
      <c r="N336" s="66"/>
      <c r="O336" s="66" t="s">
        <v>1794</v>
      </c>
      <c r="P336" s="66" t="s">
        <v>1173</v>
      </c>
      <c r="Q336" s="66"/>
      <c r="R336" s="66"/>
      <c r="S336" s="66"/>
      <c r="T336" s="66"/>
      <c r="U336" s="66" t="s">
        <v>1656</v>
      </c>
      <c r="V336" s="66"/>
      <c r="W336" s="66"/>
      <c r="X336" s="66"/>
      <c r="Y336" s="66"/>
      <c r="Z336" s="66"/>
    </row>
    <row r="337" spans="1:26" ht="99.9" hidden="1" customHeight="1" x14ac:dyDescent="0.3">
      <c r="A337" s="66" t="s">
        <v>1795</v>
      </c>
      <c r="B337" s="66" t="s">
        <v>117</v>
      </c>
      <c r="C337" s="66">
        <v>8.4</v>
      </c>
      <c r="D337" s="66" t="s">
        <v>1526</v>
      </c>
      <c r="E337" s="66" t="s">
        <v>363</v>
      </c>
      <c r="F337" s="66" t="s">
        <v>1135</v>
      </c>
      <c r="G337" s="66" t="s">
        <v>1090</v>
      </c>
      <c r="H337" s="66" t="s">
        <v>1183</v>
      </c>
      <c r="I337" s="66" t="s">
        <v>1184</v>
      </c>
      <c r="J337" s="66" t="s">
        <v>1171</v>
      </c>
      <c r="K337" s="66">
        <v>8</v>
      </c>
      <c r="L337" s="66">
        <v>64</v>
      </c>
      <c r="M337" s="66" t="s">
        <v>1093</v>
      </c>
      <c r="N337" s="66"/>
      <c r="O337" s="66" t="s">
        <v>1796</v>
      </c>
      <c r="P337" s="66" t="s">
        <v>1173</v>
      </c>
      <c r="Q337" s="66"/>
      <c r="R337" s="66"/>
      <c r="S337" s="66"/>
      <c r="T337" s="66"/>
      <c r="U337" s="66" t="s">
        <v>1656</v>
      </c>
      <c r="V337" s="66"/>
      <c r="W337" s="66"/>
      <c r="X337" s="66"/>
      <c r="Y337" s="66"/>
      <c r="Z337" s="66"/>
    </row>
    <row r="338" spans="1:26" ht="99.9" hidden="1" customHeight="1" x14ac:dyDescent="0.3">
      <c r="A338" s="66" t="s">
        <v>1797</v>
      </c>
      <c r="B338" s="66" t="s">
        <v>117</v>
      </c>
      <c r="C338" s="66">
        <v>8.4</v>
      </c>
      <c r="D338" s="66" t="s">
        <v>1526</v>
      </c>
      <c r="E338" s="66" t="s">
        <v>363</v>
      </c>
      <c r="F338" s="66" t="s">
        <v>1135</v>
      </c>
      <c r="G338" s="66" t="s">
        <v>1090</v>
      </c>
      <c r="H338" s="66" t="s">
        <v>1183</v>
      </c>
      <c r="I338" s="66" t="s">
        <v>1184</v>
      </c>
      <c r="J338" s="66" t="s">
        <v>1171</v>
      </c>
      <c r="K338" s="66">
        <v>8</v>
      </c>
      <c r="L338" s="66">
        <v>64</v>
      </c>
      <c r="M338" s="66" t="s">
        <v>1093</v>
      </c>
      <c r="N338" s="66"/>
      <c r="O338" s="66" t="s">
        <v>1798</v>
      </c>
      <c r="P338" s="66" t="s">
        <v>1173</v>
      </c>
      <c r="Q338" s="66"/>
      <c r="R338" s="66"/>
      <c r="S338" s="66"/>
      <c r="T338" s="66"/>
      <c r="U338" s="66" t="s">
        <v>1656</v>
      </c>
      <c r="V338" s="66"/>
      <c r="W338" s="66"/>
      <c r="X338" s="66"/>
      <c r="Y338" s="66"/>
      <c r="Z338" s="66"/>
    </row>
    <row r="339" spans="1:26" ht="99.9" hidden="1" customHeight="1" x14ac:dyDescent="0.3">
      <c r="A339" s="66" t="s">
        <v>1799</v>
      </c>
      <c r="B339" s="66" t="s">
        <v>117</v>
      </c>
      <c r="C339" s="66">
        <v>8.4</v>
      </c>
      <c r="D339" s="66" t="s">
        <v>1526</v>
      </c>
      <c r="E339" s="66" t="s">
        <v>363</v>
      </c>
      <c r="F339" s="66" t="s">
        <v>1189</v>
      </c>
      <c r="G339" s="66" t="s">
        <v>1090</v>
      </c>
      <c r="H339" s="66" t="s">
        <v>1183</v>
      </c>
      <c r="I339" s="66" t="s">
        <v>1190</v>
      </c>
      <c r="J339" s="66"/>
      <c r="K339" s="66">
        <v>8</v>
      </c>
      <c r="L339" s="66">
        <v>32</v>
      </c>
      <c r="M339" s="66" t="s">
        <v>1093</v>
      </c>
      <c r="N339" s="66"/>
      <c r="O339" s="66" t="s">
        <v>1800</v>
      </c>
      <c r="P339" s="66"/>
      <c r="Q339" s="66"/>
      <c r="R339" s="66" t="s">
        <v>1192</v>
      </c>
      <c r="S339" s="66"/>
      <c r="T339" s="66"/>
      <c r="U339" s="66"/>
      <c r="V339" s="66"/>
      <c r="W339" s="66"/>
      <c r="X339" s="66"/>
      <c r="Y339" s="66"/>
      <c r="Z339" s="66"/>
    </row>
    <row r="340" spans="1:26" ht="99.9" hidden="1" customHeight="1" x14ac:dyDescent="0.3">
      <c r="A340" s="66" t="s">
        <v>1801</v>
      </c>
      <c r="B340" s="66" t="s">
        <v>117</v>
      </c>
      <c r="C340" s="66">
        <v>8.4</v>
      </c>
      <c r="D340" s="66" t="s">
        <v>1526</v>
      </c>
      <c r="E340" s="66" t="s">
        <v>363</v>
      </c>
      <c r="F340" s="66" t="s">
        <v>1189</v>
      </c>
      <c r="G340" s="66" t="s">
        <v>1090</v>
      </c>
      <c r="H340" s="66" t="s">
        <v>1183</v>
      </c>
      <c r="I340" s="66" t="s">
        <v>1190</v>
      </c>
      <c r="J340" s="66"/>
      <c r="K340" s="66">
        <v>8</v>
      </c>
      <c r="L340" s="66">
        <v>32</v>
      </c>
      <c r="M340" s="66" t="s">
        <v>1093</v>
      </c>
      <c r="N340" s="66"/>
      <c r="O340" s="66" t="s">
        <v>1802</v>
      </c>
      <c r="P340" s="66"/>
      <c r="Q340" s="66"/>
      <c r="R340" s="66" t="s">
        <v>1192</v>
      </c>
      <c r="S340" s="66"/>
      <c r="T340" s="66"/>
      <c r="U340" s="66"/>
      <c r="V340" s="66"/>
      <c r="W340" s="66"/>
      <c r="X340" s="66"/>
      <c r="Y340" s="66"/>
      <c r="Z340" s="66"/>
    </row>
    <row r="341" spans="1:26" ht="99.9" hidden="1" customHeight="1" x14ac:dyDescent="0.3">
      <c r="A341" s="66" t="s">
        <v>1803</v>
      </c>
      <c r="B341" s="66" t="s">
        <v>117</v>
      </c>
      <c r="C341" s="66">
        <v>8.4</v>
      </c>
      <c r="D341" s="66" t="s">
        <v>1526</v>
      </c>
      <c r="E341" s="66" t="s">
        <v>363</v>
      </c>
      <c r="F341" s="66" t="s">
        <v>1189</v>
      </c>
      <c r="G341" s="66" t="s">
        <v>1090</v>
      </c>
      <c r="H341" s="66" t="s">
        <v>1183</v>
      </c>
      <c r="I341" s="66" t="s">
        <v>1190</v>
      </c>
      <c r="J341" s="66"/>
      <c r="K341" s="66">
        <v>8</v>
      </c>
      <c r="L341" s="66">
        <v>32</v>
      </c>
      <c r="M341" s="66" t="s">
        <v>1093</v>
      </c>
      <c r="N341" s="66"/>
      <c r="O341" s="66" t="s">
        <v>1804</v>
      </c>
      <c r="P341" s="66"/>
      <c r="Q341" s="66"/>
      <c r="R341" s="66" t="s">
        <v>1192</v>
      </c>
      <c r="S341" s="66"/>
      <c r="T341" s="66"/>
      <c r="U341" s="66"/>
      <c r="V341" s="66"/>
      <c r="W341" s="66"/>
      <c r="X341" s="66"/>
      <c r="Y341" s="66"/>
      <c r="Z341" s="66"/>
    </row>
    <row r="342" spans="1:26" ht="99.9" hidden="1" customHeight="1" x14ac:dyDescent="0.3">
      <c r="A342" s="66" t="s">
        <v>1805</v>
      </c>
      <c r="B342" s="66" t="s">
        <v>117</v>
      </c>
      <c r="C342" s="66">
        <v>8.4</v>
      </c>
      <c r="D342" s="66" t="s">
        <v>1526</v>
      </c>
      <c r="E342" s="66" t="s">
        <v>363</v>
      </c>
      <c r="F342" s="66" t="s">
        <v>1189</v>
      </c>
      <c r="G342" s="66" t="s">
        <v>1090</v>
      </c>
      <c r="H342" s="66" t="s">
        <v>1183</v>
      </c>
      <c r="I342" s="66" t="s">
        <v>1190</v>
      </c>
      <c r="J342" s="66"/>
      <c r="K342" s="66">
        <v>8</v>
      </c>
      <c r="L342" s="66">
        <v>32</v>
      </c>
      <c r="M342" s="66" t="s">
        <v>1093</v>
      </c>
      <c r="N342" s="66"/>
      <c r="O342" s="66" t="s">
        <v>1806</v>
      </c>
      <c r="P342" s="66"/>
      <c r="Q342" s="66"/>
      <c r="R342" s="66" t="s">
        <v>1192</v>
      </c>
      <c r="S342" s="66"/>
      <c r="T342" s="66"/>
      <c r="U342" s="66"/>
      <c r="V342" s="66"/>
      <c r="W342" s="66"/>
      <c r="X342" s="66"/>
      <c r="Y342" s="66"/>
      <c r="Z342" s="66"/>
    </row>
    <row r="343" spans="1:26" ht="99.9" hidden="1" customHeight="1" x14ac:dyDescent="0.3">
      <c r="A343" s="66" t="s">
        <v>1807</v>
      </c>
      <c r="B343" s="66" t="s">
        <v>117</v>
      </c>
      <c r="C343" s="66">
        <v>8.4</v>
      </c>
      <c r="D343" s="66" t="s">
        <v>1526</v>
      </c>
      <c r="E343" s="66" t="s">
        <v>363</v>
      </c>
      <c r="F343" s="66" t="s">
        <v>1189</v>
      </c>
      <c r="G343" s="66" t="s">
        <v>1090</v>
      </c>
      <c r="H343" s="66" t="s">
        <v>1183</v>
      </c>
      <c r="I343" s="66" t="s">
        <v>1190</v>
      </c>
      <c r="J343" s="66"/>
      <c r="K343" s="66">
        <v>8</v>
      </c>
      <c r="L343" s="66">
        <v>32</v>
      </c>
      <c r="M343" s="66" t="s">
        <v>1093</v>
      </c>
      <c r="N343" s="66"/>
      <c r="O343" s="66" t="s">
        <v>1808</v>
      </c>
      <c r="P343" s="66"/>
      <c r="Q343" s="66"/>
      <c r="R343" s="66" t="s">
        <v>1192</v>
      </c>
      <c r="S343" s="66"/>
      <c r="T343" s="66"/>
      <c r="U343" s="66"/>
      <c r="V343" s="66"/>
      <c r="W343" s="66"/>
      <c r="X343" s="66"/>
      <c r="Y343" s="66"/>
      <c r="Z343" s="66"/>
    </row>
    <row r="344" spans="1:26" ht="99.9" hidden="1" customHeight="1" x14ac:dyDescent="0.3">
      <c r="A344" s="66" t="s">
        <v>1809</v>
      </c>
      <c r="B344" s="66" t="s">
        <v>117</v>
      </c>
      <c r="C344" s="66">
        <v>8.4</v>
      </c>
      <c r="D344" s="66" t="s">
        <v>1526</v>
      </c>
      <c r="E344" s="66" t="s">
        <v>363</v>
      </c>
      <c r="F344" s="66" t="s">
        <v>1189</v>
      </c>
      <c r="G344" s="66" t="s">
        <v>1090</v>
      </c>
      <c r="H344" s="66" t="s">
        <v>1183</v>
      </c>
      <c r="I344" s="66" t="s">
        <v>1190</v>
      </c>
      <c r="J344" s="66"/>
      <c r="K344" s="66">
        <v>8</v>
      </c>
      <c r="L344" s="66">
        <v>32</v>
      </c>
      <c r="M344" s="66" t="s">
        <v>1093</v>
      </c>
      <c r="N344" s="66"/>
      <c r="O344" s="66" t="s">
        <v>1810</v>
      </c>
      <c r="P344" s="66"/>
      <c r="Q344" s="66"/>
      <c r="R344" s="66" t="s">
        <v>1192</v>
      </c>
      <c r="S344" s="66"/>
      <c r="T344" s="66"/>
      <c r="U344" s="66"/>
      <c r="V344" s="66"/>
      <c r="W344" s="66"/>
      <c r="X344" s="66"/>
      <c r="Y344" s="66"/>
      <c r="Z344" s="66"/>
    </row>
    <row r="345" spans="1:26" ht="99.9" hidden="1" customHeight="1" x14ac:dyDescent="0.3">
      <c r="A345" s="66" t="s">
        <v>1811</v>
      </c>
      <c r="B345" s="66" t="s">
        <v>117</v>
      </c>
      <c r="C345" s="66">
        <v>8.4</v>
      </c>
      <c r="D345" s="66" t="s">
        <v>1526</v>
      </c>
      <c r="E345" s="66" t="s">
        <v>363</v>
      </c>
      <c r="F345" s="66" t="s">
        <v>1189</v>
      </c>
      <c r="G345" s="66" t="s">
        <v>1090</v>
      </c>
      <c r="H345" s="66" t="s">
        <v>1183</v>
      </c>
      <c r="I345" s="66" t="s">
        <v>1190</v>
      </c>
      <c r="J345" s="66"/>
      <c r="K345" s="66">
        <v>8</v>
      </c>
      <c r="L345" s="66">
        <v>32</v>
      </c>
      <c r="M345" s="66" t="s">
        <v>1093</v>
      </c>
      <c r="N345" s="66"/>
      <c r="O345" s="66" t="s">
        <v>1812</v>
      </c>
      <c r="P345" s="66"/>
      <c r="Q345" s="66"/>
      <c r="R345" s="66" t="s">
        <v>1192</v>
      </c>
      <c r="S345" s="66"/>
      <c r="T345" s="66"/>
      <c r="U345" s="66"/>
      <c r="V345" s="66"/>
      <c r="W345" s="66"/>
      <c r="X345" s="66"/>
      <c r="Y345" s="66"/>
      <c r="Z345" s="66"/>
    </row>
    <row r="346" spans="1:26" ht="99.9" hidden="1" customHeight="1" x14ac:dyDescent="0.3">
      <c r="A346" s="66" t="s">
        <v>1813</v>
      </c>
      <c r="B346" s="66" t="s">
        <v>117</v>
      </c>
      <c r="C346" s="66">
        <v>8.4</v>
      </c>
      <c r="D346" s="66" t="s">
        <v>1526</v>
      </c>
      <c r="E346" s="66" t="s">
        <v>363</v>
      </c>
      <c r="F346" s="66" t="s">
        <v>1189</v>
      </c>
      <c r="G346" s="66" t="s">
        <v>1090</v>
      </c>
      <c r="H346" s="66" t="s">
        <v>1183</v>
      </c>
      <c r="I346" s="66" t="s">
        <v>1190</v>
      </c>
      <c r="J346" s="66"/>
      <c r="K346" s="66">
        <v>8</v>
      </c>
      <c r="L346" s="66">
        <v>32</v>
      </c>
      <c r="M346" s="66" t="s">
        <v>1093</v>
      </c>
      <c r="N346" s="66"/>
      <c r="O346" s="66" t="s">
        <v>1814</v>
      </c>
      <c r="P346" s="66"/>
      <c r="Q346" s="66"/>
      <c r="R346" s="66" t="s">
        <v>1192</v>
      </c>
      <c r="S346" s="66"/>
      <c r="T346" s="66"/>
      <c r="U346" s="66"/>
      <c r="V346" s="66"/>
      <c r="W346" s="66"/>
      <c r="X346" s="66"/>
      <c r="Y346" s="66"/>
      <c r="Z346" s="66"/>
    </row>
    <row r="347" spans="1:26" ht="99.9" hidden="1" customHeight="1" x14ac:dyDescent="0.3">
      <c r="A347" s="66" t="s">
        <v>1815</v>
      </c>
      <c r="B347" s="66" t="s">
        <v>117</v>
      </c>
      <c r="C347" s="66">
        <v>8.4</v>
      </c>
      <c r="D347" s="66" t="s">
        <v>1526</v>
      </c>
      <c r="E347" s="66" t="s">
        <v>363</v>
      </c>
      <c r="F347" s="66" t="s">
        <v>1189</v>
      </c>
      <c r="G347" s="66" t="s">
        <v>1090</v>
      </c>
      <c r="H347" s="66" t="s">
        <v>1183</v>
      </c>
      <c r="I347" s="66" t="s">
        <v>1208</v>
      </c>
      <c r="J347" s="66"/>
      <c r="K347" s="66">
        <v>8</v>
      </c>
      <c r="L347" s="66">
        <v>32</v>
      </c>
      <c r="M347" s="66" t="s">
        <v>1093</v>
      </c>
      <c r="N347" s="66"/>
      <c r="O347" s="66" t="s">
        <v>1816</v>
      </c>
      <c r="P347" s="66"/>
      <c r="Q347" s="66"/>
      <c r="R347" s="66" t="s">
        <v>1210</v>
      </c>
      <c r="S347" s="66"/>
      <c r="T347" s="66"/>
      <c r="U347" s="66"/>
      <c r="V347" s="66"/>
      <c r="W347" s="66"/>
      <c r="X347" s="66"/>
      <c r="Y347" s="66"/>
      <c r="Z347" s="66"/>
    </row>
    <row r="348" spans="1:26" ht="99.9" hidden="1" customHeight="1" x14ac:dyDescent="0.3">
      <c r="A348" s="66" t="s">
        <v>1817</v>
      </c>
      <c r="B348" s="66" t="s">
        <v>117</v>
      </c>
      <c r="C348" s="66">
        <v>8.4</v>
      </c>
      <c r="D348" s="66" t="s">
        <v>1526</v>
      </c>
      <c r="E348" s="66" t="s">
        <v>363</v>
      </c>
      <c r="F348" s="66" t="s">
        <v>1189</v>
      </c>
      <c r="G348" s="66" t="s">
        <v>1090</v>
      </c>
      <c r="H348" s="66" t="s">
        <v>1183</v>
      </c>
      <c r="I348" s="66" t="s">
        <v>1208</v>
      </c>
      <c r="J348" s="66"/>
      <c r="K348" s="66">
        <v>8</v>
      </c>
      <c r="L348" s="66">
        <v>32</v>
      </c>
      <c r="M348" s="66" t="s">
        <v>1093</v>
      </c>
      <c r="N348" s="66"/>
      <c r="O348" s="66" t="s">
        <v>1818</v>
      </c>
      <c r="P348" s="66"/>
      <c r="Q348" s="66"/>
      <c r="R348" s="66" t="s">
        <v>1210</v>
      </c>
      <c r="S348" s="66"/>
      <c r="T348" s="66"/>
      <c r="U348" s="66"/>
      <c r="V348" s="66"/>
      <c r="W348" s="66"/>
      <c r="X348" s="66"/>
      <c r="Y348" s="66"/>
      <c r="Z348" s="66"/>
    </row>
    <row r="349" spans="1:26" ht="99.9" hidden="1" customHeight="1" x14ac:dyDescent="0.3">
      <c r="A349" s="66" t="s">
        <v>1819</v>
      </c>
      <c r="B349" s="66" t="s">
        <v>117</v>
      </c>
      <c r="C349" s="66">
        <v>8.4</v>
      </c>
      <c r="D349" s="66" t="s">
        <v>1526</v>
      </c>
      <c r="E349" s="66" t="s">
        <v>363</v>
      </c>
      <c r="F349" s="66" t="s">
        <v>1189</v>
      </c>
      <c r="G349" s="66" t="s">
        <v>1090</v>
      </c>
      <c r="H349" s="66" t="s">
        <v>1183</v>
      </c>
      <c r="I349" s="66" t="s">
        <v>1208</v>
      </c>
      <c r="J349" s="66"/>
      <c r="K349" s="66">
        <v>8</v>
      </c>
      <c r="L349" s="66">
        <v>32</v>
      </c>
      <c r="M349" s="66" t="s">
        <v>1093</v>
      </c>
      <c r="N349" s="66"/>
      <c r="O349" s="66" t="s">
        <v>1820</v>
      </c>
      <c r="P349" s="66"/>
      <c r="Q349" s="66"/>
      <c r="R349" s="66" t="s">
        <v>1210</v>
      </c>
      <c r="S349" s="66"/>
      <c r="T349" s="66"/>
      <c r="U349" s="66"/>
      <c r="V349" s="66"/>
      <c r="W349" s="66"/>
      <c r="X349" s="66"/>
      <c r="Y349" s="66"/>
      <c r="Z349" s="66"/>
    </row>
    <row r="350" spans="1:26" ht="99.9" hidden="1" customHeight="1" x14ac:dyDescent="0.3">
      <c r="A350" s="66" t="s">
        <v>1821</v>
      </c>
      <c r="B350" s="66" t="s">
        <v>117</v>
      </c>
      <c r="C350" s="66">
        <v>8.4</v>
      </c>
      <c r="D350" s="66" t="s">
        <v>1526</v>
      </c>
      <c r="E350" s="66" t="s">
        <v>363</v>
      </c>
      <c r="F350" s="66" t="s">
        <v>1189</v>
      </c>
      <c r="G350" s="66" t="s">
        <v>1090</v>
      </c>
      <c r="H350" s="66" t="s">
        <v>1183</v>
      </c>
      <c r="I350" s="66" t="s">
        <v>1208</v>
      </c>
      <c r="J350" s="66"/>
      <c r="K350" s="66">
        <v>8</v>
      </c>
      <c r="L350" s="66">
        <v>32</v>
      </c>
      <c r="M350" s="66" t="s">
        <v>1093</v>
      </c>
      <c r="N350" s="66"/>
      <c r="O350" s="66" t="s">
        <v>1822</v>
      </c>
      <c r="P350" s="66"/>
      <c r="Q350" s="66"/>
      <c r="R350" s="66" t="s">
        <v>1210</v>
      </c>
      <c r="S350" s="66"/>
      <c r="T350" s="66"/>
      <c r="U350" s="66"/>
      <c r="V350" s="66"/>
      <c r="W350" s="66"/>
      <c r="X350" s="66"/>
      <c r="Y350" s="66"/>
      <c r="Z350" s="66"/>
    </row>
    <row r="351" spans="1:26" ht="99.9" hidden="1" customHeight="1" x14ac:dyDescent="0.3">
      <c r="A351" s="66" t="s">
        <v>1823</v>
      </c>
      <c r="B351" s="66" t="s">
        <v>117</v>
      </c>
      <c r="C351" s="66">
        <v>8.4</v>
      </c>
      <c r="D351" s="66" t="s">
        <v>1526</v>
      </c>
      <c r="E351" s="66" t="s">
        <v>363</v>
      </c>
      <c r="F351" s="66" t="s">
        <v>1189</v>
      </c>
      <c r="G351" s="66" t="s">
        <v>1090</v>
      </c>
      <c r="H351" s="66" t="s">
        <v>1183</v>
      </c>
      <c r="I351" s="66" t="s">
        <v>1208</v>
      </c>
      <c r="J351" s="66"/>
      <c r="K351" s="66">
        <v>8</v>
      </c>
      <c r="L351" s="66">
        <v>32</v>
      </c>
      <c r="M351" s="66" t="s">
        <v>1093</v>
      </c>
      <c r="N351" s="66"/>
      <c r="O351" s="66" t="s">
        <v>1824</v>
      </c>
      <c r="P351" s="66"/>
      <c r="Q351" s="66"/>
      <c r="R351" s="66" t="s">
        <v>1210</v>
      </c>
      <c r="S351" s="66"/>
      <c r="T351" s="66"/>
      <c r="U351" s="66"/>
      <c r="V351" s="66"/>
      <c r="W351" s="66"/>
      <c r="X351" s="66"/>
      <c r="Y351" s="66"/>
      <c r="Z351" s="66"/>
    </row>
    <row r="352" spans="1:26" ht="99.9" hidden="1" customHeight="1" x14ac:dyDescent="0.3">
      <c r="A352" s="66" t="s">
        <v>1825</v>
      </c>
      <c r="B352" s="66" t="s">
        <v>117</v>
      </c>
      <c r="C352" s="66">
        <v>8.4</v>
      </c>
      <c r="D352" s="66" t="s">
        <v>1526</v>
      </c>
      <c r="E352" s="66" t="s">
        <v>363</v>
      </c>
      <c r="F352" s="66" t="s">
        <v>1189</v>
      </c>
      <c r="G352" s="66" t="s">
        <v>1090</v>
      </c>
      <c r="H352" s="66" t="s">
        <v>1183</v>
      </c>
      <c r="I352" s="66" t="s">
        <v>1208</v>
      </c>
      <c r="J352" s="66"/>
      <c r="K352" s="66">
        <v>8</v>
      </c>
      <c r="L352" s="66">
        <v>32</v>
      </c>
      <c r="M352" s="66" t="s">
        <v>1093</v>
      </c>
      <c r="N352" s="66"/>
      <c r="O352" s="66" t="s">
        <v>1826</v>
      </c>
      <c r="P352" s="66"/>
      <c r="Q352" s="66"/>
      <c r="R352" s="66" t="s">
        <v>1210</v>
      </c>
      <c r="S352" s="66"/>
      <c r="T352" s="66"/>
      <c r="U352" s="66"/>
      <c r="V352" s="66"/>
      <c r="W352" s="66"/>
      <c r="X352" s="66"/>
      <c r="Y352" s="66"/>
      <c r="Z352" s="66"/>
    </row>
    <row r="353" spans="1:26" ht="99.9" hidden="1" customHeight="1" x14ac:dyDescent="0.3">
      <c r="A353" s="66" t="s">
        <v>1827</v>
      </c>
      <c r="B353" s="66" t="s">
        <v>117</v>
      </c>
      <c r="C353" s="66">
        <v>8.4</v>
      </c>
      <c r="D353" s="66" t="s">
        <v>1526</v>
      </c>
      <c r="E353" s="66" t="s">
        <v>363</v>
      </c>
      <c r="F353" s="66" t="s">
        <v>1189</v>
      </c>
      <c r="G353" s="66" t="s">
        <v>1090</v>
      </c>
      <c r="H353" s="66" t="s">
        <v>1183</v>
      </c>
      <c r="I353" s="66" t="s">
        <v>1208</v>
      </c>
      <c r="J353" s="66"/>
      <c r="K353" s="66">
        <v>8</v>
      </c>
      <c r="L353" s="66">
        <v>32</v>
      </c>
      <c r="M353" s="66" t="s">
        <v>1093</v>
      </c>
      <c r="N353" s="66"/>
      <c r="O353" s="66" t="s">
        <v>1828</v>
      </c>
      <c r="P353" s="66"/>
      <c r="Q353" s="66"/>
      <c r="R353" s="66" t="s">
        <v>1210</v>
      </c>
      <c r="S353" s="66"/>
      <c r="T353" s="66"/>
      <c r="U353" s="66"/>
      <c r="V353" s="66"/>
      <c r="W353" s="66"/>
      <c r="X353" s="66"/>
      <c r="Y353" s="66"/>
      <c r="Z353" s="66"/>
    </row>
    <row r="354" spans="1:26" ht="99.9" hidden="1" customHeight="1" x14ac:dyDescent="0.3">
      <c r="A354" s="66" t="s">
        <v>1829</v>
      </c>
      <c r="B354" s="66" t="s">
        <v>117</v>
      </c>
      <c r="C354" s="66">
        <v>8.4</v>
      </c>
      <c r="D354" s="66" t="s">
        <v>1526</v>
      </c>
      <c r="E354" s="66" t="s">
        <v>363</v>
      </c>
      <c r="F354" s="66" t="s">
        <v>1189</v>
      </c>
      <c r="G354" s="66" t="s">
        <v>1090</v>
      </c>
      <c r="H354" s="66" t="s">
        <v>1183</v>
      </c>
      <c r="I354" s="66" t="s">
        <v>1208</v>
      </c>
      <c r="J354" s="66"/>
      <c r="K354" s="66">
        <v>8</v>
      </c>
      <c r="L354" s="66">
        <v>32</v>
      </c>
      <c r="M354" s="66" t="s">
        <v>1093</v>
      </c>
      <c r="N354" s="66"/>
      <c r="O354" s="66" t="s">
        <v>1830</v>
      </c>
      <c r="P354" s="66"/>
      <c r="Q354" s="66"/>
      <c r="R354" s="66" t="s">
        <v>1210</v>
      </c>
      <c r="S354" s="66"/>
      <c r="T354" s="66"/>
      <c r="U354" s="66"/>
      <c r="V354" s="66"/>
      <c r="W354" s="66"/>
      <c r="X354" s="66"/>
      <c r="Y354" s="66"/>
      <c r="Z354" s="66"/>
    </row>
    <row r="355" spans="1:26" ht="99.9" hidden="1" customHeight="1" x14ac:dyDescent="0.3">
      <c r="A355" s="66" t="s">
        <v>1831</v>
      </c>
      <c r="B355" s="66" t="s">
        <v>117</v>
      </c>
      <c r="C355" s="66">
        <v>8.4</v>
      </c>
      <c r="D355" s="66" t="s">
        <v>1526</v>
      </c>
      <c r="E355" s="66" t="s">
        <v>363</v>
      </c>
      <c r="F355" s="66" t="s">
        <v>1189</v>
      </c>
      <c r="G355" s="66" t="s">
        <v>1090</v>
      </c>
      <c r="H355" s="66" t="s">
        <v>1183</v>
      </c>
      <c r="I355" s="66" t="s">
        <v>1208</v>
      </c>
      <c r="J355" s="66"/>
      <c r="K355" s="66">
        <v>8</v>
      </c>
      <c r="L355" s="66">
        <v>32</v>
      </c>
      <c r="M355" s="66" t="s">
        <v>1093</v>
      </c>
      <c r="N355" s="66"/>
      <c r="O355" s="66" t="s">
        <v>1832</v>
      </c>
      <c r="P355" s="66"/>
      <c r="Q355" s="66"/>
      <c r="R355" s="66" t="s">
        <v>1210</v>
      </c>
      <c r="S355" s="66"/>
      <c r="T355" s="66"/>
      <c r="U355" s="66"/>
      <c r="V355" s="66"/>
      <c r="W355" s="66"/>
      <c r="X355" s="66"/>
      <c r="Y355" s="66"/>
      <c r="Z355" s="66"/>
    </row>
    <row r="356" spans="1:26" ht="99.9" hidden="1" customHeight="1" x14ac:dyDescent="0.3">
      <c r="A356" s="66" t="s">
        <v>1833</v>
      </c>
      <c r="B356" s="66" t="s">
        <v>117</v>
      </c>
      <c r="C356" s="66">
        <v>8.4</v>
      </c>
      <c r="D356" s="66" t="s">
        <v>1526</v>
      </c>
      <c r="E356" s="66" t="s">
        <v>363</v>
      </c>
      <c r="F356" s="66" t="s">
        <v>1189</v>
      </c>
      <c r="G356" s="66" t="s">
        <v>1090</v>
      </c>
      <c r="H356" s="66" t="s">
        <v>1183</v>
      </c>
      <c r="I356" s="66" t="s">
        <v>1208</v>
      </c>
      <c r="J356" s="66"/>
      <c r="K356" s="66">
        <v>8</v>
      </c>
      <c r="L356" s="66">
        <v>32</v>
      </c>
      <c r="M356" s="66" t="s">
        <v>1093</v>
      </c>
      <c r="N356" s="66"/>
      <c r="O356" s="66" t="s">
        <v>1834</v>
      </c>
      <c r="P356" s="66"/>
      <c r="Q356" s="66"/>
      <c r="R356" s="66" t="s">
        <v>1210</v>
      </c>
      <c r="S356" s="66"/>
      <c r="T356" s="66"/>
      <c r="U356" s="66"/>
      <c r="V356" s="66"/>
      <c r="W356" s="66"/>
      <c r="X356" s="66"/>
      <c r="Y356" s="66"/>
      <c r="Z356" s="66"/>
    </row>
    <row r="357" spans="1:26" ht="99.9" hidden="1" customHeight="1" x14ac:dyDescent="0.3">
      <c r="A357" s="66" t="s">
        <v>1835</v>
      </c>
      <c r="B357" s="66" t="s">
        <v>117</v>
      </c>
      <c r="C357" s="66">
        <v>8.4</v>
      </c>
      <c r="D357" s="66" t="s">
        <v>1526</v>
      </c>
      <c r="E357" s="66" t="s">
        <v>363</v>
      </c>
      <c r="F357" s="66" t="s">
        <v>1189</v>
      </c>
      <c r="G357" s="66" t="s">
        <v>1090</v>
      </c>
      <c r="H357" s="66" t="s">
        <v>1183</v>
      </c>
      <c r="I357" s="66" t="s">
        <v>1230</v>
      </c>
      <c r="J357" s="66"/>
      <c r="K357" s="66">
        <v>8</v>
      </c>
      <c r="L357" s="66">
        <v>32</v>
      </c>
      <c r="M357" s="66" t="s">
        <v>1093</v>
      </c>
      <c r="N357" s="66"/>
      <c r="O357" s="66" t="s">
        <v>1836</v>
      </c>
      <c r="P357" s="66"/>
      <c r="Q357" s="66"/>
      <c r="R357" s="66" t="s">
        <v>1232</v>
      </c>
      <c r="S357" s="66"/>
      <c r="T357" s="66"/>
      <c r="U357" s="66"/>
      <c r="V357" s="66"/>
      <c r="W357" s="66"/>
      <c r="X357" s="66"/>
      <c r="Y357" s="66"/>
      <c r="Z357" s="66"/>
    </row>
    <row r="358" spans="1:26" ht="99.9" hidden="1" customHeight="1" x14ac:dyDescent="0.3">
      <c r="A358" s="66" t="s">
        <v>1837</v>
      </c>
      <c r="B358" s="66" t="s">
        <v>117</v>
      </c>
      <c r="C358" s="66">
        <v>8.4</v>
      </c>
      <c r="D358" s="66" t="s">
        <v>1526</v>
      </c>
      <c r="E358" s="66" t="s">
        <v>363</v>
      </c>
      <c r="F358" s="66" t="s">
        <v>1189</v>
      </c>
      <c r="G358" s="66" t="s">
        <v>1090</v>
      </c>
      <c r="H358" s="66" t="s">
        <v>1183</v>
      </c>
      <c r="I358" s="66" t="s">
        <v>1230</v>
      </c>
      <c r="J358" s="66"/>
      <c r="K358" s="66">
        <v>8</v>
      </c>
      <c r="L358" s="66">
        <v>32</v>
      </c>
      <c r="M358" s="66" t="s">
        <v>1093</v>
      </c>
      <c r="N358" s="66"/>
      <c r="O358" s="66" t="s">
        <v>1838</v>
      </c>
      <c r="P358" s="66"/>
      <c r="Q358" s="66"/>
      <c r="R358" s="66" t="s">
        <v>1232</v>
      </c>
      <c r="S358" s="66"/>
      <c r="T358" s="66"/>
      <c r="U358" s="66"/>
      <c r="V358" s="66"/>
      <c r="W358" s="66"/>
      <c r="X358" s="66"/>
      <c r="Y358" s="66"/>
      <c r="Z358" s="66"/>
    </row>
    <row r="359" spans="1:26" ht="99.9" hidden="1" customHeight="1" x14ac:dyDescent="0.3">
      <c r="A359" s="66" t="s">
        <v>1839</v>
      </c>
      <c r="B359" s="66" t="s">
        <v>117</v>
      </c>
      <c r="C359" s="66">
        <v>8.4</v>
      </c>
      <c r="D359" s="66" t="s">
        <v>1526</v>
      </c>
      <c r="E359" s="66" t="s">
        <v>363</v>
      </c>
      <c r="F359" s="66" t="s">
        <v>1189</v>
      </c>
      <c r="G359" s="66" t="s">
        <v>1090</v>
      </c>
      <c r="H359" s="66" t="s">
        <v>1183</v>
      </c>
      <c r="I359" s="66" t="s">
        <v>1230</v>
      </c>
      <c r="J359" s="66"/>
      <c r="K359" s="66">
        <v>8</v>
      </c>
      <c r="L359" s="66">
        <v>32</v>
      </c>
      <c r="M359" s="66" t="s">
        <v>1093</v>
      </c>
      <c r="N359" s="66"/>
      <c r="O359" s="66" t="s">
        <v>1840</v>
      </c>
      <c r="P359" s="66"/>
      <c r="Q359" s="66"/>
      <c r="R359" s="66" t="s">
        <v>1232</v>
      </c>
      <c r="S359" s="66"/>
      <c r="T359" s="66"/>
      <c r="U359" s="66"/>
      <c r="V359" s="66"/>
      <c r="W359" s="66"/>
      <c r="X359" s="66"/>
      <c r="Y359" s="66"/>
      <c r="Z359" s="66"/>
    </row>
    <row r="360" spans="1:26" ht="99.9" hidden="1" customHeight="1" x14ac:dyDescent="0.3">
      <c r="A360" s="66" t="s">
        <v>1841</v>
      </c>
      <c r="B360" s="66" t="s">
        <v>117</v>
      </c>
      <c r="C360" s="66">
        <v>8.4</v>
      </c>
      <c r="D360" s="66" t="s">
        <v>1526</v>
      </c>
      <c r="E360" s="66" t="s">
        <v>363</v>
      </c>
      <c r="F360" s="66" t="s">
        <v>1189</v>
      </c>
      <c r="G360" s="66" t="s">
        <v>1090</v>
      </c>
      <c r="H360" s="66" t="s">
        <v>1183</v>
      </c>
      <c r="I360" s="66" t="s">
        <v>1238</v>
      </c>
      <c r="J360" s="66"/>
      <c r="K360" s="66">
        <v>8</v>
      </c>
      <c r="L360" s="66">
        <v>32</v>
      </c>
      <c r="M360" s="66" t="s">
        <v>1093</v>
      </c>
      <c r="N360" s="66"/>
      <c r="O360" s="66" t="s">
        <v>1842</v>
      </c>
      <c r="P360" s="66"/>
      <c r="Q360" s="66"/>
      <c r="R360" s="66" t="s">
        <v>1232</v>
      </c>
      <c r="S360" s="66"/>
      <c r="T360" s="66"/>
      <c r="U360" s="66"/>
      <c r="V360" s="66"/>
      <c r="W360" s="66"/>
      <c r="X360" s="66"/>
      <c r="Y360" s="66"/>
      <c r="Z360" s="66"/>
    </row>
    <row r="361" spans="1:26" ht="99.9" hidden="1" customHeight="1" x14ac:dyDescent="0.3">
      <c r="A361" s="66" t="s">
        <v>1843</v>
      </c>
      <c r="B361" s="66" t="s">
        <v>117</v>
      </c>
      <c r="C361" s="66">
        <v>8.4</v>
      </c>
      <c r="D361" s="66" t="s">
        <v>1526</v>
      </c>
      <c r="E361" s="66" t="s">
        <v>363</v>
      </c>
      <c r="F361" s="66" t="s">
        <v>1189</v>
      </c>
      <c r="G361" s="66" t="s">
        <v>1090</v>
      </c>
      <c r="H361" s="66" t="s">
        <v>1183</v>
      </c>
      <c r="I361" s="66" t="s">
        <v>1238</v>
      </c>
      <c r="J361" s="66"/>
      <c r="K361" s="66">
        <v>8</v>
      </c>
      <c r="L361" s="66">
        <v>32</v>
      </c>
      <c r="M361" s="66" t="s">
        <v>1093</v>
      </c>
      <c r="N361" s="66"/>
      <c r="O361" s="66" t="s">
        <v>1844</v>
      </c>
      <c r="P361" s="66"/>
      <c r="Q361" s="66"/>
      <c r="R361" s="66" t="s">
        <v>1232</v>
      </c>
      <c r="S361" s="66"/>
      <c r="T361" s="66"/>
      <c r="U361" s="66"/>
      <c r="V361" s="66"/>
      <c r="W361" s="66"/>
      <c r="X361" s="66"/>
      <c r="Y361" s="66"/>
      <c r="Z361" s="66"/>
    </row>
    <row r="362" spans="1:26" ht="99.9" hidden="1" customHeight="1" x14ac:dyDescent="0.3">
      <c r="A362" s="66" t="s">
        <v>1845</v>
      </c>
      <c r="B362" s="66" t="s">
        <v>117</v>
      </c>
      <c r="C362" s="66">
        <v>8.4</v>
      </c>
      <c r="D362" s="66" t="s">
        <v>1526</v>
      </c>
      <c r="E362" s="66" t="s">
        <v>363</v>
      </c>
      <c r="F362" s="66" t="s">
        <v>1189</v>
      </c>
      <c r="G362" s="66" t="s">
        <v>1090</v>
      </c>
      <c r="H362" s="66" t="s">
        <v>1183</v>
      </c>
      <c r="I362" s="66" t="s">
        <v>1238</v>
      </c>
      <c r="J362" s="66"/>
      <c r="K362" s="66">
        <v>8</v>
      </c>
      <c r="L362" s="66">
        <v>32</v>
      </c>
      <c r="M362" s="66" t="s">
        <v>1093</v>
      </c>
      <c r="N362" s="66"/>
      <c r="O362" s="66" t="s">
        <v>1846</v>
      </c>
      <c r="P362" s="66"/>
      <c r="Q362" s="66"/>
      <c r="R362" s="66" t="s">
        <v>1232</v>
      </c>
      <c r="S362" s="66"/>
      <c r="T362" s="66"/>
      <c r="U362" s="66"/>
      <c r="V362" s="66"/>
      <c r="W362" s="66"/>
      <c r="X362" s="66"/>
      <c r="Y362" s="66"/>
      <c r="Z362" s="66"/>
    </row>
    <row r="363" spans="1:26" ht="99.9" hidden="1" customHeight="1" x14ac:dyDescent="0.3">
      <c r="A363" s="66" t="s">
        <v>1847</v>
      </c>
      <c r="B363" s="66" t="s">
        <v>117</v>
      </c>
      <c r="C363" s="66">
        <v>8.4</v>
      </c>
      <c r="D363" s="66" t="s">
        <v>1526</v>
      </c>
      <c r="E363" s="66" t="s">
        <v>363</v>
      </c>
      <c r="F363" s="66" t="s">
        <v>1141</v>
      </c>
      <c r="G363" s="66" t="s">
        <v>1090</v>
      </c>
      <c r="H363" s="66" t="s">
        <v>1183</v>
      </c>
      <c r="I363" s="66" t="s">
        <v>1245</v>
      </c>
      <c r="J363" s="66"/>
      <c r="K363" s="66">
        <v>8</v>
      </c>
      <c r="L363" s="66">
        <v>32</v>
      </c>
      <c r="M363" s="66" t="s">
        <v>1093</v>
      </c>
      <c r="N363" s="66"/>
      <c r="O363" s="66" t="s">
        <v>1848</v>
      </c>
      <c r="P363" s="66"/>
      <c r="Q363" s="66"/>
      <c r="R363" s="66" t="s">
        <v>1247</v>
      </c>
      <c r="S363" s="66"/>
      <c r="T363" s="66"/>
      <c r="U363" s="66"/>
      <c r="V363" s="66"/>
      <c r="W363" s="66"/>
      <c r="X363" s="66"/>
      <c r="Y363" s="66"/>
      <c r="Z363" s="66"/>
    </row>
    <row r="364" spans="1:26" ht="99.9" hidden="1" customHeight="1" x14ac:dyDescent="0.3">
      <c r="A364" s="66" t="s">
        <v>1849</v>
      </c>
      <c r="B364" s="66" t="s">
        <v>117</v>
      </c>
      <c r="C364" s="66">
        <v>8.4</v>
      </c>
      <c r="D364" s="66" t="s">
        <v>1526</v>
      </c>
      <c r="E364" s="66" t="s">
        <v>363</v>
      </c>
      <c r="F364" s="66" t="s">
        <v>1141</v>
      </c>
      <c r="G364" s="66" t="s">
        <v>1090</v>
      </c>
      <c r="H364" s="66" t="s">
        <v>1183</v>
      </c>
      <c r="I364" s="66" t="s">
        <v>1249</v>
      </c>
      <c r="J364" s="66"/>
      <c r="K364" s="66">
        <v>8</v>
      </c>
      <c r="L364" s="66">
        <v>32</v>
      </c>
      <c r="M364" s="66" t="s">
        <v>1093</v>
      </c>
      <c r="N364" s="66"/>
      <c r="O364" s="66" t="s">
        <v>1850</v>
      </c>
      <c r="P364" s="66"/>
      <c r="Q364" s="66"/>
      <c r="R364" s="66" t="s">
        <v>1247</v>
      </c>
      <c r="S364" s="66"/>
      <c r="T364" s="66"/>
      <c r="U364" s="66"/>
      <c r="V364" s="66"/>
      <c r="W364" s="66"/>
      <c r="X364" s="66"/>
      <c r="Y364" s="66"/>
      <c r="Z364" s="66"/>
    </row>
    <row r="365" spans="1:26" ht="99.9" hidden="1" customHeight="1" x14ac:dyDescent="0.3">
      <c r="A365" s="66" t="s">
        <v>1851</v>
      </c>
      <c r="B365" s="66" t="s">
        <v>117</v>
      </c>
      <c r="C365" s="66">
        <v>8.4</v>
      </c>
      <c r="D365" s="66" t="s">
        <v>1526</v>
      </c>
      <c r="E365" s="66" t="s">
        <v>363</v>
      </c>
      <c r="F365" s="66" t="s">
        <v>1141</v>
      </c>
      <c r="G365" s="66" t="s">
        <v>1090</v>
      </c>
      <c r="H365" s="66" t="s">
        <v>1183</v>
      </c>
      <c r="I365" s="66" t="s">
        <v>1249</v>
      </c>
      <c r="J365" s="66"/>
      <c r="K365" s="66">
        <v>8</v>
      </c>
      <c r="L365" s="66">
        <v>32</v>
      </c>
      <c r="M365" s="66" t="s">
        <v>1093</v>
      </c>
      <c r="N365" s="66"/>
      <c r="O365" s="66" t="s">
        <v>1852</v>
      </c>
      <c r="P365" s="66"/>
      <c r="Q365" s="66"/>
      <c r="R365" s="66" t="s">
        <v>1247</v>
      </c>
      <c r="S365" s="66"/>
      <c r="T365" s="66"/>
      <c r="U365" s="66"/>
      <c r="V365" s="66"/>
      <c r="W365" s="66"/>
      <c r="X365" s="66"/>
      <c r="Y365" s="66"/>
      <c r="Z365" s="66"/>
    </row>
    <row r="366" spans="1:26" ht="99.9" hidden="1" customHeight="1" x14ac:dyDescent="0.3">
      <c r="A366" s="66" t="s">
        <v>1853</v>
      </c>
      <c r="B366" s="66" t="s">
        <v>117</v>
      </c>
      <c r="C366" s="66">
        <v>8.4</v>
      </c>
      <c r="D366" s="66" t="s">
        <v>1526</v>
      </c>
      <c r="E366" s="66" t="s">
        <v>363</v>
      </c>
      <c r="F366" s="66" t="s">
        <v>1141</v>
      </c>
      <c r="G366" s="66" t="s">
        <v>1090</v>
      </c>
      <c r="H366" s="66" t="s">
        <v>1183</v>
      </c>
      <c r="I366" s="66" t="s">
        <v>1254</v>
      </c>
      <c r="J366" s="66"/>
      <c r="K366" s="66">
        <v>8</v>
      </c>
      <c r="L366" s="66">
        <v>16</v>
      </c>
      <c r="M366" s="66" t="s">
        <v>1093</v>
      </c>
      <c r="N366" s="66"/>
      <c r="O366" s="66" t="s">
        <v>1854</v>
      </c>
      <c r="P366" s="66"/>
      <c r="Q366" s="66"/>
      <c r="R366" s="66" t="s">
        <v>1256</v>
      </c>
      <c r="S366" s="66"/>
      <c r="T366" s="66"/>
      <c r="U366" s="66"/>
      <c r="V366" s="66"/>
      <c r="W366" s="66"/>
      <c r="X366" s="66"/>
      <c r="Y366" s="66"/>
      <c r="Z366" s="66"/>
    </row>
    <row r="367" spans="1:26" ht="99.9" hidden="1" customHeight="1" x14ac:dyDescent="0.3">
      <c r="A367" s="66" t="s">
        <v>1855</v>
      </c>
      <c r="B367" s="66" t="s">
        <v>117</v>
      </c>
      <c r="C367" s="66">
        <v>8.4</v>
      </c>
      <c r="D367" s="66" t="s">
        <v>1526</v>
      </c>
      <c r="E367" s="66" t="s">
        <v>363</v>
      </c>
      <c r="F367" s="66" t="s">
        <v>1141</v>
      </c>
      <c r="G367" s="66" t="s">
        <v>1090</v>
      </c>
      <c r="H367" s="66" t="s">
        <v>1183</v>
      </c>
      <c r="I367" s="66" t="s">
        <v>1254</v>
      </c>
      <c r="J367" s="66"/>
      <c r="K367" s="66">
        <v>8</v>
      </c>
      <c r="L367" s="66">
        <v>16</v>
      </c>
      <c r="M367" s="66" t="s">
        <v>1093</v>
      </c>
      <c r="N367" s="66"/>
      <c r="O367" s="66" t="s">
        <v>1856</v>
      </c>
      <c r="P367" s="66"/>
      <c r="Q367" s="66"/>
      <c r="R367" s="66" t="s">
        <v>1256</v>
      </c>
      <c r="S367" s="66"/>
      <c r="T367" s="66"/>
      <c r="U367" s="66"/>
      <c r="V367" s="66"/>
      <c r="W367" s="66"/>
      <c r="X367" s="66"/>
      <c r="Y367" s="66"/>
      <c r="Z367" s="66"/>
    </row>
    <row r="368" spans="1:26" ht="99.9" hidden="1" customHeight="1" x14ac:dyDescent="0.3">
      <c r="A368" s="66" t="s">
        <v>1857</v>
      </c>
      <c r="B368" s="66" t="s">
        <v>117</v>
      </c>
      <c r="C368" s="66">
        <v>8.4</v>
      </c>
      <c r="D368" s="66" t="s">
        <v>1526</v>
      </c>
      <c r="E368" s="66" t="s">
        <v>363</v>
      </c>
      <c r="F368" s="66" t="s">
        <v>1117</v>
      </c>
      <c r="G368" s="66" t="s">
        <v>1090</v>
      </c>
      <c r="H368" s="66" t="s">
        <v>1118</v>
      </c>
      <c r="I368" s="66" t="s">
        <v>1260</v>
      </c>
      <c r="J368" s="66"/>
      <c r="K368" s="66">
        <v>8</v>
      </c>
      <c r="L368" s="66">
        <v>32</v>
      </c>
      <c r="M368" s="66" t="s">
        <v>1093</v>
      </c>
      <c r="N368" s="66"/>
      <c r="O368" s="66" t="s">
        <v>1858</v>
      </c>
      <c r="P368" s="66"/>
      <c r="Q368" s="66"/>
      <c r="R368" s="66" t="s">
        <v>1124</v>
      </c>
      <c r="S368" s="66"/>
      <c r="T368" s="66"/>
      <c r="U368" s="66"/>
      <c r="V368" s="66"/>
      <c r="W368" s="66"/>
      <c r="X368" s="66"/>
      <c r="Y368" s="66"/>
      <c r="Z368" s="66"/>
    </row>
    <row r="369" spans="1:26" ht="99.9" hidden="1" customHeight="1" x14ac:dyDescent="0.3">
      <c r="A369" s="66" t="s">
        <v>1859</v>
      </c>
      <c r="B369" s="66" t="s">
        <v>117</v>
      </c>
      <c r="C369" s="66">
        <v>8.4</v>
      </c>
      <c r="D369" s="66" t="s">
        <v>1526</v>
      </c>
      <c r="E369" s="66" t="s">
        <v>363</v>
      </c>
      <c r="F369" s="66" t="s">
        <v>1117</v>
      </c>
      <c r="G369" s="66" t="s">
        <v>1090</v>
      </c>
      <c r="H369" s="66" t="s">
        <v>1118</v>
      </c>
      <c r="I369" s="66" t="s">
        <v>1260</v>
      </c>
      <c r="J369" s="66"/>
      <c r="K369" s="66">
        <v>8</v>
      </c>
      <c r="L369" s="66">
        <v>32</v>
      </c>
      <c r="M369" s="66" t="s">
        <v>1093</v>
      </c>
      <c r="N369" s="66"/>
      <c r="O369" s="66" t="s">
        <v>1860</v>
      </c>
      <c r="P369" s="66"/>
      <c r="Q369" s="66"/>
      <c r="R369" s="66" t="s">
        <v>1124</v>
      </c>
      <c r="S369" s="66"/>
      <c r="T369" s="66"/>
      <c r="U369" s="66"/>
      <c r="V369" s="66"/>
      <c r="W369" s="66"/>
      <c r="X369" s="66"/>
      <c r="Y369" s="66"/>
      <c r="Z369" s="66"/>
    </row>
    <row r="370" spans="1:26" ht="99.9" hidden="1" customHeight="1" x14ac:dyDescent="0.3">
      <c r="A370" s="66" t="s">
        <v>1861</v>
      </c>
      <c r="B370" s="66" t="s">
        <v>117</v>
      </c>
      <c r="C370" s="66">
        <v>8.4</v>
      </c>
      <c r="D370" s="66" t="s">
        <v>1526</v>
      </c>
      <c r="E370" s="66" t="s">
        <v>363</v>
      </c>
      <c r="F370" s="66" t="s">
        <v>1117</v>
      </c>
      <c r="G370" s="66" t="s">
        <v>1090</v>
      </c>
      <c r="H370" s="66" t="s">
        <v>1118</v>
      </c>
      <c r="I370" s="66" t="s">
        <v>1260</v>
      </c>
      <c r="J370" s="66"/>
      <c r="K370" s="66">
        <v>8</v>
      </c>
      <c r="L370" s="66">
        <v>32</v>
      </c>
      <c r="M370" s="66" t="s">
        <v>1093</v>
      </c>
      <c r="N370" s="66"/>
      <c r="O370" s="66" t="s">
        <v>1862</v>
      </c>
      <c r="P370" s="66"/>
      <c r="Q370" s="66"/>
      <c r="R370" s="66" t="s">
        <v>1124</v>
      </c>
      <c r="S370" s="66"/>
      <c r="T370" s="66"/>
      <c r="U370" s="66"/>
      <c r="V370" s="66"/>
      <c r="W370" s="66"/>
      <c r="X370" s="66"/>
      <c r="Y370" s="66"/>
      <c r="Z370" s="66"/>
    </row>
    <row r="371" spans="1:26" ht="99.9" hidden="1" customHeight="1" x14ac:dyDescent="0.3">
      <c r="A371" s="66" t="s">
        <v>1863</v>
      </c>
      <c r="B371" s="66" t="s">
        <v>117</v>
      </c>
      <c r="C371" s="66">
        <v>8.4</v>
      </c>
      <c r="D371" s="66" t="s">
        <v>1526</v>
      </c>
      <c r="E371" s="66" t="s">
        <v>353</v>
      </c>
      <c r="F371" s="66" t="s">
        <v>1267</v>
      </c>
      <c r="G371" s="66"/>
      <c r="H371" s="66" t="s">
        <v>1268</v>
      </c>
      <c r="I371" s="66" t="s">
        <v>1864</v>
      </c>
      <c r="J371" s="66" t="s">
        <v>1270</v>
      </c>
      <c r="K371" s="66">
        <v>32</v>
      </c>
      <c r="L371" s="66">
        <v>100</v>
      </c>
      <c r="M371" s="66" t="s">
        <v>1271</v>
      </c>
      <c r="N371" s="66"/>
      <c r="O371" s="66" t="s">
        <v>1865</v>
      </c>
      <c r="P371" s="66"/>
      <c r="Q371" s="66"/>
      <c r="R371" s="66"/>
      <c r="S371" s="66"/>
      <c r="T371" s="66"/>
      <c r="U371" s="66" t="s">
        <v>1689</v>
      </c>
      <c r="V371" s="66"/>
      <c r="W371" s="66"/>
      <c r="X371" s="66"/>
      <c r="Y371" s="66"/>
      <c r="Z371" s="66"/>
    </row>
    <row r="372" spans="1:26" ht="99.9" hidden="1" customHeight="1" x14ac:dyDescent="0.3">
      <c r="A372" s="66" t="s">
        <v>1866</v>
      </c>
      <c r="B372" s="66" t="s">
        <v>117</v>
      </c>
      <c r="C372" s="66">
        <v>8.4</v>
      </c>
      <c r="D372" s="66" t="s">
        <v>1526</v>
      </c>
      <c r="E372" s="66" t="s">
        <v>353</v>
      </c>
      <c r="F372" s="66" t="s">
        <v>1267</v>
      </c>
      <c r="G372" s="66"/>
      <c r="H372" s="66" t="s">
        <v>1268</v>
      </c>
      <c r="I372" s="66" t="s">
        <v>1867</v>
      </c>
      <c r="J372" s="66" t="s">
        <v>1270</v>
      </c>
      <c r="K372" s="66">
        <v>32</v>
      </c>
      <c r="L372" s="66">
        <v>100</v>
      </c>
      <c r="M372" s="66" t="s">
        <v>1271</v>
      </c>
      <c r="N372" s="66"/>
      <c r="O372" s="66" t="s">
        <v>1868</v>
      </c>
      <c r="P372" s="66"/>
      <c r="Q372" s="66"/>
      <c r="R372" s="66"/>
      <c r="S372" s="66"/>
      <c r="T372" s="66"/>
      <c r="U372" s="66" t="s">
        <v>1689</v>
      </c>
      <c r="V372" s="66"/>
      <c r="W372" s="66"/>
      <c r="X372" s="66"/>
      <c r="Y372" s="66"/>
      <c r="Z372" s="66"/>
    </row>
    <row r="373" spans="1:26" ht="99.9" hidden="1" customHeight="1" x14ac:dyDescent="0.3">
      <c r="A373" s="66" t="s">
        <v>1869</v>
      </c>
      <c r="B373" s="66" t="s">
        <v>117</v>
      </c>
      <c r="C373" s="66">
        <v>8.4</v>
      </c>
      <c r="D373" s="66" t="s">
        <v>1526</v>
      </c>
      <c r="E373" s="66" t="s">
        <v>353</v>
      </c>
      <c r="F373" s="66" t="s">
        <v>1287</v>
      </c>
      <c r="G373" s="66" t="s">
        <v>1870</v>
      </c>
      <c r="H373" s="66" t="s">
        <v>1268</v>
      </c>
      <c r="I373" s="66" t="s">
        <v>1871</v>
      </c>
      <c r="J373" s="66" t="s">
        <v>1289</v>
      </c>
      <c r="K373" s="66">
        <v>16</v>
      </c>
      <c r="L373" s="66">
        <v>24</v>
      </c>
      <c r="M373" s="66" t="s">
        <v>1093</v>
      </c>
      <c r="N373" s="66"/>
      <c r="O373" s="66" t="s">
        <v>1872</v>
      </c>
      <c r="P373" s="66"/>
      <c r="Q373" s="66"/>
      <c r="R373" s="66"/>
      <c r="S373" s="66"/>
      <c r="T373" s="66"/>
      <c r="U373" s="66" t="s">
        <v>1711</v>
      </c>
      <c r="V373" s="66"/>
      <c r="W373" s="66"/>
      <c r="X373" s="66"/>
      <c r="Y373" s="66"/>
      <c r="Z373" s="66"/>
    </row>
    <row r="374" spans="1:26" ht="99.9" hidden="1" customHeight="1" x14ac:dyDescent="0.3">
      <c r="A374" s="66" t="s">
        <v>1873</v>
      </c>
      <c r="B374" s="66" t="s">
        <v>117</v>
      </c>
      <c r="C374" s="66">
        <v>8.4</v>
      </c>
      <c r="D374" s="66" t="s">
        <v>1526</v>
      </c>
      <c r="E374" s="66" t="s">
        <v>353</v>
      </c>
      <c r="F374" s="66" t="s">
        <v>1287</v>
      </c>
      <c r="G374" s="66" t="s">
        <v>1870</v>
      </c>
      <c r="H374" s="66" t="s">
        <v>1268</v>
      </c>
      <c r="I374" s="66" t="s">
        <v>1874</v>
      </c>
      <c r="J374" s="66" t="s">
        <v>1289</v>
      </c>
      <c r="K374" s="66">
        <v>8</v>
      </c>
      <c r="L374" s="66">
        <v>16</v>
      </c>
      <c r="M374" s="66" t="s">
        <v>1093</v>
      </c>
      <c r="N374" s="66"/>
      <c r="O374" s="66" t="s">
        <v>1875</v>
      </c>
      <c r="P374" s="66"/>
      <c r="Q374" s="66"/>
      <c r="R374" s="66"/>
      <c r="S374" s="66"/>
      <c r="T374" s="66"/>
      <c r="U374" s="66" t="s">
        <v>1711</v>
      </c>
      <c r="V374" s="66"/>
      <c r="W374" s="66"/>
      <c r="X374" s="66"/>
      <c r="Y374" s="66"/>
      <c r="Z374" s="66"/>
    </row>
    <row r="375" spans="1:26" ht="99.9" hidden="1" customHeight="1" x14ac:dyDescent="0.3">
      <c r="A375" s="66" t="s">
        <v>1876</v>
      </c>
      <c r="B375" s="66" t="s">
        <v>117</v>
      </c>
      <c r="C375" s="66">
        <v>8.4</v>
      </c>
      <c r="D375" s="66" t="s">
        <v>1526</v>
      </c>
      <c r="E375" s="66" t="s">
        <v>353</v>
      </c>
      <c r="F375" s="66" t="s">
        <v>1267</v>
      </c>
      <c r="G375" s="66"/>
      <c r="H375" s="66" t="s">
        <v>1268</v>
      </c>
      <c r="I375" s="66" t="s">
        <v>1877</v>
      </c>
      <c r="J375" s="66"/>
      <c r="K375" s="66">
        <v>32</v>
      </c>
      <c r="L375" s="66">
        <v>768</v>
      </c>
      <c r="M375" s="66"/>
      <c r="N375" s="66"/>
      <c r="O375" s="66" t="s">
        <v>1878</v>
      </c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 t="s">
        <v>1300</v>
      </c>
    </row>
    <row r="376" spans="1:26" ht="99.9" hidden="1" customHeight="1" x14ac:dyDescent="0.3">
      <c r="A376" s="66" t="s">
        <v>1879</v>
      </c>
      <c r="B376" s="66" t="s">
        <v>117</v>
      </c>
      <c r="C376" s="66">
        <v>8.4</v>
      </c>
      <c r="D376" s="66" t="s">
        <v>1526</v>
      </c>
      <c r="E376" s="66" t="s">
        <v>353</v>
      </c>
      <c r="F376" s="66" t="s">
        <v>1267</v>
      </c>
      <c r="G376" s="66"/>
      <c r="H376" s="66" t="s">
        <v>1268</v>
      </c>
      <c r="I376" s="66" t="s">
        <v>1880</v>
      </c>
      <c r="J376" s="66"/>
      <c r="K376" s="66">
        <v>32</v>
      </c>
      <c r="L376" s="66">
        <v>768</v>
      </c>
      <c r="M376" s="66"/>
      <c r="N376" s="66"/>
      <c r="O376" s="66" t="s">
        <v>1881</v>
      </c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 t="s">
        <v>1300</v>
      </c>
    </row>
    <row r="377" spans="1:26" ht="99.9" hidden="1" customHeight="1" x14ac:dyDescent="0.3">
      <c r="A377" s="66" t="s">
        <v>1882</v>
      </c>
      <c r="B377" s="66" t="s">
        <v>117</v>
      </c>
      <c r="C377" s="66">
        <v>8.4</v>
      </c>
      <c r="D377" s="66" t="s">
        <v>1526</v>
      </c>
      <c r="E377" s="66" t="s">
        <v>353</v>
      </c>
      <c r="F377" s="66" t="s">
        <v>1267</v>
      </c>
      <c r="G377" s="66"/>
      <c r="H377" s="66" t="s">
        <v>1268</v>
      </c>
      <c r="I377" s="66" t="s">
        <v>1883</v>
      </c>
      <c r="J377" s="66"/>
      <c r="K377" s="66">
        <v>32</v>
      </c>
      <c r="L377" s="66">
        <v>768</v>
      </c>
      <c r="M377" s="66"/>
      <c r="N377" s="66"/>
      <c r="O377" s="66" t="s">
        <v>1884</v>
      </c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 t="s">
        <v>1300</v>
      </c>
    </row>
    <row r="378" spans="1:26" ht="99.9" hidden="1" customHeight="1" x14ac:dyDescent="0.3">
      <c r="A378" s="66" t="s">
        <v>1885</v>
      </c>
      <c r="B378" s="66" t="s">
        <v>117</v>
      </c>
      <c r="C378" s="66">
        <v>8.4</v>
      </c>
      <c r="D378" s="66" t="s">
        <v>1526</v>
      </c>
      <c r="E378" s="66" t="s">
        <v>353</v>
      </c>
      <c r="F378" s="66" t="s">
        <v>1267</v>
      </c>
      <c r="G378" s="66"/>
      <c r="H378" s="66" t="s">
        <v>1268</v>
      </c>
      <c r="I378" s="66" t="s">
        <v>1886</v>
      </c>
      <c r="J378" s="66"/>
      <c r="K378" s="66">
        <v>32</v>
      </c>
      <c r="L378" s="66">
        <v>768</v>
      </c>
      <c r="M378" s="66"/>
      <c r="N378" s="66"/>
      <c r="O378" s="66" t="s">
        <v>1887</v>
      </c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 t="s">
        <v>1300</v>
      </c>
    </row>
    <row r="379" spans="1:26" ht="99.9" hidden="1" customHeight="1" x14ac:dyDescent="0.3">
      <c r="A379" s="66" t="s">
        <v>1888</v>
      </c>
      <c r="B379" s="66" t="s">
        <v>117</v>
      </c>
      <c r="C379" s="66">
        <v>8.4</v>
      </c>
      <c r="D379" s="66" t="s">
        <v>1526</v>
      </c>
      <c r="E379" s="66" t="s">
        <v>353</v>
      </c>
      <c r="F379" s="66" t="s">
        <v>1267</v>
      </c>
      <c r="G379" s="66"/>
      <c r="H379" s="66" t="s">
        <v>1268</v>
      </c>
      <c r="I379" s="66" t="s">
        <v>1889</v>
      </c>
      <c r="J379" s="66"/>
      <c r="K379" s="66">
        <v>32</v>
      </c>
      <c r="L379" s="66">
        <v>768</v>
      </c>
      <c r="M379" s="66"/>
      <c r="N379" s="66"/>
      <c r="O379" s="66" t="s">
        <v>1890</v>
      </c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 t="s">
        <v>1300</v>
      </c>
    </row>
    <row r="380" spans="1:26" ht="99.9" hidden="1" customHeight="1" x14ac:dyDescent="0.3">
      <c r="A380" s="66" t="s">
        <v>1891</v>
      </c>
      <c r="B380" s="66" t="s">
        <v>125</v>
      </c>
      <c r="C380" s="66" t="s">
        <v>1332</v>
      </c>
      <c r="D380" s="66" t="s">
        <v>1526</v>
      </c>
      <c r="E380" s="66" t="s">
        <v>1333</v>
      </c>
      <c r="F380" s="66"/>
      <c r="G380" s="66"/>
      <c r="H380" s="66" t="s">
        <v>1334</v>
      </c>
      <c r="I380" s="66" t="s">
        <v>1335</v>
      </c>
      <c r="J380" s="66" t="s">
        <v>1336</v>
      </c>
      <c r="K380" s="66">
        <v>16</v>
      </c>
      <c r="L380" s="66">
        <v>32</v>
      </c>
      <c r="M380" s="66" t="s">
        <v>1093</v>
      </c>
      <c r="N380" s="66"/>
      <c r="O380" s="66" t="s">
        <v>1892</v>
      </c>
      <c r="P380" s="66" t="s">
        <v>1338</v>
      </c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99.9" hidden="1" customHeight="1" x14ac:dyDescent="0.3">
      <c r="A381" s="66" t="s">
        <v>1893</v>
      </c>
      <c r="B381" s="66" t="s">
        <v>117</v>
      </c>
      <c r="C381" s="66">
        <v>8.4</v>
      </c>
      <c r="D381" s="66" t="s">
        <v>1526</v>
      </c>
      <c r="E381" s="66" t="s">
        <v>1333</v>
      </c>
      <c r="F381" s="66"/>
      <c r="G381" s="66" t="s">
        <v>1090</v>
      </c>
      <c r="H381" s="66" t="s">
        <v>1334</v>
      </c>
      <c r="I381" s="66" t="s">
        <v>1341</v>
      </c>
      <c r="J381" s="66" t="s">
        <v>1342</v>
      </c>
      <c r="K381" s="66">
        <v>2</v>
      </c>
      <c r="L381" s="66">
        <v>4</v>
      </c>
      <c r="M381" s="66" t="s">
        <v>1093</v>
      </c>
      <c r="N381" s="66"/>
      <c r="O381" s="66" t="s">
        <v>1894</v>
      </c>
      <c r="P381" s="66" t="s">
        <v>1344</v>
      </c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99.9" hidden="1" customHeight="1" x14ac:dyDescent="0.3">
      <c r="A382" s="66" t="s">
        <v>1895</v>
      </c>
      <c r="B382" s="66" t="s">
        <v>117</v>
      </c>
      <c r="C382" s="66">
        <v>8.4</v>
      </c>
      <c r="D382" s="66" t="s">
        <v>1074</v>
      </c>
      <c r="E382" s="66" t="s">
        <v>1333</v>
      </c>
      <c r="F382" s="66"/>
      <c r="G382" s="66"/>
      <c r="H382" s="66" t="s">
        <v>1412</v>
      </c>
      <c r="I382" s="66" t="s">
        <v>1413</v>
      </c>
      <c r="J382" s="66" t="s">
        <v>1414</v>
      </c>
      <c r="K382" s="66">
        <v>4</v>
      </c>
      <c r="L382" s="66">
        <v>8</v>
      </c>
      <c r="M382" s="66" t="s">
        <v>1093</v>
      </c>
      <c r="N382" s="66"/>
      <c r="O382" s="66" t="s">
        <v>1896</v>
      </c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99.9" hidden="1" customHeight="1" x14ac:dyDescent="0.3">
      <c r="A383" s="66" t="s">
        <v>1897</v>
      </c>
      <c r="B383" s="66" t="s">
        <v>125</v>
      </c>
      <c r="C383" s="66" t="s">
        <v>1898</v>
      </c>
      <c r="D383" s="66" t="s">
        <v>1899</v>
      </c>
      <c r="E383" s="66" t="s">
        <v>1333</v>
      </c>
      <c r="F383" s="66"/>
      <c r="G383" s="66"/>
      <c r="H383" s="66" t="s">
        <v>424</v>
      </c>
      <c r="I383" s="66" t="s">
        <v>1900</v>
      </c>
      <c r="J383" s="66" t="s">
        <v>1401</v>
      </c>
      <c r="K383" s="66">
        <v>8</v>
      </c>
      <c r="L383" s="66">
        <v>16</v>
      </c>
      <c r="M383" s="66" t="s">
        <v>1402</v>
      </c>
      <c r="N383" s="66"/>
      <c r="O383" s="66" t="s">
        <v>1901</v>
      </c>
      <c r="P383" s="66" t="s">
        <v>1404</v>
      </c>
      <c r="Q383" s="66"/>
      <c r="R383" s="66"/>
      <c r="S383" s="66"/>
      <c r="T383" s="66"/>
      <c r="U383" s="66" t="s">
        <v>1386</v>
      </c>
      <c r="V383" s="66"/>
      <c r="W383" s="66"/>
      <c r="X383" s="66"/>
      <c r="Y383" s="66"/>
      <c r="Z383" s="66" t="s">
        <v>1902</v>
      </c>
    </row>
    <row r="384" spans="1:26" ht="99.9" hidden="1" customHeight="1" x14ac:dyDescent="0.3">
      <c r="A384" s="66" t="s">
        <v>1903</v>
      </c>
      <c r="B384" s="66" t="s">
        <v>1437</v>
      </c>
      <c r="C384" s="66" t="s">
        <v>1438</v>
      </c>
      <c r="D384" s="66" t="s">
        <v>1526</v>
      </c>
      <c r="E384" s="66" t="s">
        <v>1333</v>
      </c>
      <c r="F384" s="66"/>
      <c r="G384" s="66"/>
      <c r="H384" s="66" t="s">
        <v>1439</v>
      </c>
      <c r="I384" s="66" t="s">
        <v>1440</v>
      </c>
      <c r="J384" s="66" t="s">
        <v>1904</v>
      </c>
      <c r="K384" s="66">
        <v>4</v>
      </c>
      <c r="L384" s="66">
        <v>19</v>
      </c>
      <c r="M384" s="66" t="s">
        <v>1442</v>
      </c>
      <c r="N384" s="66"/>
      <c r="O384" s="66" t="s">
        <v>1905</v>
      </c>
      <c r="P384" s="66" t="s">
        <v>1444</v>
      </c>
      <c r="Q384" s="66"/>
      <c r="R384" s="66"/>
      <c r="S384" s="66"/>
      <c r="T384" s="66"/>
      <c r="U384" s="66" t="s">
        <v>1437</v>
      </c>
      <c r="V384" s="66"/>
      <c r="W384" s="66"/>
      <c r="X384" s="66"/>
      <c r="Y384" s="66"/>
      <c r="Z384" s="66"/>
    </row>
    <row r="385" spans="1:26" ht="99.9" hidden="1" customHeight="1" x14ac:dyDescent="0.3">
      <c r="A385" s="66" t="s">
        <v>1906</v>
      </c>
      <c r="B385" s="66" t="s">
        <v>117</v>
      </c>
      <c r="C385" s="66">
        <v>8.4</v>
      </c>
      <c r="D385" s="66" t="s">
        <v>1526</v>
      </c>
      <c r="E385" s="66" t="s">
        <v>1333</v>
      </c>
      <c r="F385" s="66"/>
      <c r="G385" s="66" t="s">
        <v>1090</v>
      </c>
      <c r="H385" s="66" t="s">
        <v>1412</v>
      </c>
      <c r="I385" s="66" t="s">
        <v>1460</v>
      </c>
      <c r="J385" s="66" t="s">
        <v>1907</v>
      </c>
      <c r="K385" s="66">
        <v>4</v>
      </c>
      <c r="L385" s="66">
        <v>8</v>
      </c>
      <c r="M385" s="66" t="s">
        <v>1093</v>
      </c>
      <c r="N385" s="66"/>
      <c r="O385" s="66" t="s">
        <v>1908</v>
      </c>
      <c r="P385" s="66"/>
      <c r="Q385" s="66"/>
      <c r="R385" s="66"/>
      <c r="S385" s="66"/>
      <c r="T385" s="66"/>
      <c r="U385" s="66" t="s">
        <v>1463</v>
      </c>
      <c r="V385" s="66"/>
      <c r="W385" s="66"/>
      <c r="X385" s="66"/>
      <c r="Y385" s="66"/>
      <c r="Z385" s="66"/>
    </row>
    <row r="386" spans="1:26" ht="99.9" hidden="1" customHeight="1" x14ac:dyDescent="0.3">
      <c r="A386" s="66" t="s">
        <v>1909</v>
      </c>
      <c r="B386" s="66" t="s">
        <v>125</v>
      </c>
      <c r="C386" s="66" t="s">
        <v>1472</v>
      </c>
      <c r="D386" s="66" t="s">
        <v>1526</v>
      </c>
      <c r="E386" s="66" t="s">
        <v>1333</v>
      </c>
      <c r="F386" s="66"/>
      <c r="G386" s="66" t="s">
        <v>1447</v>
      </c>
      <c r="H386" s="66" t="s">
        <v>1467</v>
      </c>
      <c r="I386" s="66" t="s">
        <v>1910</v>
      </c>
      <c r="J386" s="66" t="s">
        <v>1474</v>
      </c>
      <c r="K386" s="66">
        <v>8</v>
      </c>
      <c r="L386" s="66">
        <v>32</v>
      </c>
      <c r="M386" s="66" t="s">
        <v>1475</v>
      </c>
      <c r="N386" s="66"/>
      <c r="O386" s="66" t="s">
        <v>1911</v>
      </c>
      <c r="P386" s="66" t="s">
        <v>1478</v>
      </c>
      <c r="Q386" s="66"/>
      <c r="R386" s="66"/>
      <c r="S386" s="66" t="s">
        <v>1470</v>
      </c>
      <c r="T386" s="66"/>
      <c r="U386" s="66"/>
      <c r="V386" s="66"/>
      <c r="W386" s="66"/>
      <c r="X386" s="66"/>
      <c r="Y386" s="66"/>
      <c r="Z386" s="66"/>
    </row>
    <row r="387" spans="1:26" ht="99.9" hidden="1" customHeight="1" x14ac:dyDescent="0.3">
      <c r="A387" s="66" t="s">
        <v>1912</v>
      </c>
      <c r="B387" s="66" t="s">
        <v>125</v>
      </c>
      <c r="C387" s="66" t="s">
        <v>1472</v>
      </c>
      <c r="D387" s="66" t="s">
        <v>1526</v>
      </c>
      <c r="E387" s="66" t="s">
        <v>1333</v>
      </c>
      <c r="F387" s="66"/>
      <c r="G387" s="66" t="s">
        <v>1447</v>
      </c>
      <c r="H387" s="66" t="s">
        <v>1467</v>
      </c>
      <c r="I387" s="66" t="s">
        <v>1484</v>
      </c>
      <c r="J387" s="66" t="s">
        <v>1485</v>
      </c>
      <c r="K387" s="66">
        <v>16</v>
      </c>
      <c r="L387" s="66">
        <v>32</v>
      </c>
      <c r="M387" s="66" t="s">
        <v>1475</v>
      </c>
      <c r="N387" s="66"/>
      <c r="O387" s="66" t="s">
        <v>1913</v>
      </c>
      <c r="P387" s="66" t="s">
        <v>1487</v>
      </c>
      <c r="Q387" s="66"/>
      <c r="R387" s="66"/>
      <c r="S387" s="66" t="s">
        <v>1470</v>
      </c>
      <c r="T387" s="66"/>
      <c r="U387" s="66"/>
      <c r="V387" s="66"/>
      <c r="W387" s="66"/>
      <c r="X387" s="66"/>
      <c r="Y387" s="66"/>
      <c r="Z387" s="66"/>
    </row>
    <row r="388" spans="1:26" ht="99.9" hidden="1" customHeight="1" x14ac:dyDescent="0.3">
      <c r="A388" s="66" t="s">
        <v>1914</v>
      </c>
      <c r="B388" s="66" t="s">
        <v>1495</v>
      </c>
      <c r="C388" s="66" t="s">
        <v>1496</v>
      </c>
      <c r="D388" s="66" t="s">
        <v>1526</v>
      </c>
      <c r="E388" s="66" t="s">
        <v>1333</v>
      </c>
      <c r="F388" s="66"/>
      <c r="G388" s="66" t="s">
        <v>1447</v>
      </c>
      <c r="H388" s="66" t="s">
        <v>1467</v>
      </c>
      <c r="I388" s="66" t="s">
        <v>1491</v>
      </c>
      <c r="J388" s="66"/>
      <c r="K388" s="66">
        <v>2</v>
      </c>
      <c r="L388" s="66">
        <v>4</v>
      </c>
      <c r="M388" s="66" t="s">
        <v>1497</v>
      </c>
      <c r="N388" s="66"/>
      <c r="O388" s="66" t="s">
        <v>1915</v>
      </c>
      <c r="P388" s="66"/>
      <c r="Q388" s="66"/>
      <c r="R388" s="66"/>
      <c r="S388" s="66" t="s">
        <v>1470</v>
      </c>
      <c r="T388" s="66"/>
      <c r="U388" s="66"/>
      <c r="V388" s="66"/>
      <c r="W388" s="66"/>
      <c r="X388" s="66"/>
      <c r="Y388" s="66"/>
      <c r="Z388" s="66"/>
    </row>
    <row r="389" spans="1:26" ht="99.9" hidden="1" customHeight="1" x14ac:dyDescent="0.3">
      <c r="A389" s="66" t="s">
        <v>1916</v>
      </c>
      <c r="B389" s="66" t="s">
        <v>1489</v>
      </c>
      <c r="C389" s="66" t="s">
        <v>1490</v>
      </c>
      <c r="D389" s="66" t="s">
        <v>1526</v>
      </c>
      <c r="E389" s="66" t="s">
        <v>1333</v>
      </c>
      <c r="F389" s="66"/>
      <c r="G389" s="66" t="s">
        <v>1447</v>
      </c>
      <c r="H389" s="66" t="s">
        <v>1467</v>
      </c>
      <c r="I389" s="66" t="s">
        <v>1491</v>
      </c>
      <c r="J389" s="66"/>
      <c r="K389" s="66">
        <v>8</v>
      </c>
      <c r="L389" s="66">
        <v>8</v>
      </c>
      <c r="M389" s="66" t="s">
        <v>1500</v>
      </c>
      <c r="N389" s="66"/>
      <c r="O389" s="66" t="s">
        <v>1917</v>
      </c>
      <c r="P389" s="66"/>
      <c r="Q389" s="66"/>
      <c r="R389" s="66"/>
      <c r="S389" s="66" t="s">
        <v>1470</v>
      </c>
      <c r="T389" s="66"/>
      <c r="U389" s="66"/>
      <c r="V389" s="66"/>
      <c r="W389" s="66"/>
      <c r="X389" s="66"/>
      <c r="Y389" s="66"/>
      <c r="Z389" s="66"/>
    </row>
    <row r="390" spans="1:26" ht="99.9" hidden="1" customHeight="1" x14ac:dyDescent="0.3">
      <c r="A390" s="66" t="s">
        <v>1918</v>
      </c>
      <c r="B390" s="66" t="s">
        <v>117</v>
      </c>
      <c r="C390" s="66">
        <v>8.4</v>
      </c>
      <c r="D390" s="66" t="s">
        <v>1526</v>
      </c>
      <c r="E390" s="66" t="s">
        <v>1333</v>
      </c>
      <c r="F390" s="66"/>
      <c r="G390" s="66" t="s">
        <v>1507</v>
      </c>
      <c r="H390" s="66" t="s">
        <v>1467</v>
      </c>
      <c r="I390" s="66" t="s">
        <v>1508</v>
      </c>
      <c r="J390" s="66" t="s">
        <v>1509</v>
      </c>
      <c r="K390" s="66">
        <v>1</v>
      </c>
      <c r="L390" s="66">
        <v>16</v>
      </c>
      <c r="M390" s="66" t="s">
        <v>1510</v>
      </c>
      <c r="N390" s="66"/>
      <c r="O390" s="66" t="s">
        <v>1919</v>
      </c>
      <c r="P390" s="66"/>
      <c r="Q390" s="66"/>
      <c r="R390" s="66"/>
      <c r="S390" s="66" t="s">
        <v>1470</v>
      </c>
      <c r="T390" s="66"/>
      <c r="U390" s="66"/>
      <c r="V390" s="66"/>
      <c r="W390" s="66"/>
      <c r="X390" s="66"/>
      <c r="Y390" s="66"/>
      <c r="Z390" s="66"/>
    </row>
    <row r="391" spans="1:26" ht="99.9" hidden="1" customHeight="1" x14ac:dyDescent="0.3">
      <c r="A391" s="66" t="s">
        <v>1920</v>
      </c>
      <c r="B391" s="66" t="s">
        <v>117</v>
      </c>
      <c r="C391" s="66">
        <v>8.4</v>
      </c>
      <c r="D391" s="66" t="s">
        <v>1526</v>
      </c>
      <c r="E391" s="66" t="s">
        <v>1333</v>
      </c>
      <c r="F391" s="66"/>
      <c r="G391" s="66" t="s">
        <v>1507</v>
      </c>
      <c r="H391" s="66" t="s">
        <v>1467</v>
      </c>
      <c r="I391" s="66" t="s">
        <v>1515</v>
      </c>
      <c r="J391" s="66" t="s">
        <v>1516</v>
      </c>
      <c r="K391" s="66">
        <v>2</v>
      </c>
      <c r="L391" s="66">
        <v>64</v>
      </c>
      <c r="M391" s="66" t="s">
        <v>1517</v>
      </c>
      <c r="N391" s="66"/>
      <c r="O391" s="66" t="s">
        <v>1921</v>
      </c>
      <c r="P391" s="66"/>
      <c r="Q391" s="66"/>
      <c r="R391" s="66"/>
      <c r="S391" s="66" t="s">
        <v>1470</v>
      </c>
      <c r="T391" s="66"/>
      <c r="U391" s="66"/>
      <c r="V391" s="66"/>
      <c r="W391" s="66"/>
      <c r="X391" s="66"/>
      <c r="Y391" s="66"/>
      <c r="Z391" s="66"/>
    </row>
    <row r="392" spans="1:26" ht="99.9" hidden="1" customHeight="1" x14ac:dyDescent="0.3">
      <c r="A392" s="66" t="s">
        <v>1922</v>
      </c>
      <c r="B392" s="66" t="s">
        <v>125</v>
      </c>
      <c r="C392" s="66" t="s">
        <v>1472</v>
      </c>
      <c r="D392" s="66" t="s">
        <v>1526</v>
      </c>
      <c r="E392" s="66" t="s">
        <v>1333</v>
      </c>
      <c r="F392" s="66"/>
      <c r="G392" s="66"/>
      <c r="H392" s="66" t="s">
        <v>1467</v>
      </c>
      <c r="I392" s="66" t="s">
        <v>1520</v>
      </c>
      <c r="J392" s="66" t="s">
        <v>1923</v>
      </c>
      <c r="K392" s="66">
        <v>4</v>
      </c>
      <c r="L392" s="66">
        <v>16</v>
      </c>
      <c r="M392" s="66" t="s">
        <v>1522</v>
      </c>
      <c r="N392" s="66"/>
      <c r="O392" s="66" t="s">
        <v>1924</v>
      </c>
      <c r="P392" s="66" t="s">
        <v>1524</v>
      </c>
      <c r="Q392" s="66"/>
      <c r="R392" s="66"/>
      <c r="S392" s="66" t="s">
        <v>1470</v>
      </c>
      <c r="T392" s="66"/>
      <c r="U392" s="66"/>
      <c r="V392" s="66"/>
      <c r="W392" s="66"/>
      <c r="X392" s="66"/>
      <c r="Y392" s="66"/>
      <c r="Z392" s="66"/>
    </row>
    <row r="393" spans="1:26" ht="99.9" hidden="1" customHeight="1" x14ac:dyDescent="0.3">
      <c r="A393" s="66" t="s">
        <v>1925</v>
      </c>
      <c r="B393" s="66" t="s">
        <v>117</v>
      </c>
      <c r="C393" s="66">
        <v>8.4</v>
      </c>
      <c r="D393" s="66" t="s">
        <v>1526</v>
      </c>
      <c r="E393" s="66" t="s">
        <v>1333</v>
      </c>
      <c r="F393" s="66"/>
      <c r="G393" s="66" t="s">
        <v>1090</v>
      </c>
      <c r="H393" s="66" t="s">
        <v>1527</v>
      </c>
      <c r="I393" s="66" t="s">
        <v>1528</v>
      </c>
      <c r="J393" s="66" t="s">
        <v>1529</v>
      </c>
      <c r="K393" s="66">
        <v>8</v>
      </c>
      <c r="L393" s="66">
        <v>24</v>
      </c>
      <c r="M393" s="66" t="s">
        <v>1390</v>
      </c>
      <c r="N393" s="66"/>
      <c r="O393" s="66" t="s">
        <v>1926</v>
      </c>
      <c r="P393" s="66"/>
      <c r="Q393" s="66"/>
      <c r="R393" s="66"/>
      <c r="S393" s="66"/>
      <c r="T393" s="66"/>
      <c r="U393" s="66" t="s">
        <v>1531</v>
      </c>
      <c r="V393" s="66"/>
      <c r="W393" s="66"/>
      <c r="X393" s="66"/>
      <c r="Y393" s="66"/>
      <c r="Z393" s="66"/>
    </row>
    <row r="394" spans="1:26" s="1" customFormat="1" ht="19.8" hidden="1" x14ac:dyDescent="0.3">
      <c r="A394" s="49" t="s">
        <v>1927</v>
      </c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1"/>
    </row>
    <row r="395" spans="1:26" ht="99.9" hidden="1" customHeight="1" x14ac:dyDescent="0.3">
      <c r="A395" s="66" t="s">
        <v>1928</v>
      </c>
      <c r="B395" s="66" t="s">
        <v>117</v>
      </c>
      <c r="C395" s="66">
        <v>8.4</v>
      </c>
      <c r="D395" s="66" t="s">
        <v>1927</v>
      </c>
      <c r="E395" s="66" t="s">
        <v>1534</v>
      </c>
      <c r="F395" s="66" t="s">
        <v>1189</v>
      </c>
      <c r="G395" s="66" t="s">
        <v>1090</v>
      </c>
      <c r="H395" s="66" t="s">
        <v>1412</v>
      </c>
      <c r="I395" s="66" t="s">
        <v>1568</v>
      </c>
      <c r="J395" s="66" t="s">
        <v>1569</v>
      </c>
      <c r="K395" s="66">
        <v>4</v>
      </c>
      <c r="L395" s="66">
        <v>16</v>
      </c>
      <c r="M395" s="66" t="s">
        <v>1093</v>
      </c>
      <c r="N395" s="66"/>
      <c r="O395" s="66" t="s">
        <v>1929</v>
      </c>
      <c r="P395" s="66"/>
      <c r="Q395" s="66"/>
      <c r="R395" s="66"/>
      <c r="S395" s="66"/>
      <c r="T395" s="66"/>
      <c r="U395" s="66" t="s">
        <v>1574</v>
      </c>
      <c r="V395" s="66"/>
      <c r="W395" s="66"/>
      <c r="X395" s="66"/>
      <c r="Y395" s="66"/>
      <c r="Z395" s="66"/>
    </row>
    <row r="396" spans="1:26" ht="99.9" hidden="1" customHeight="1" x14ac:dyDescent="0.3">
      <c r="A396" s="66" t="s">
        <v>1930</v>
      </c>
      <c r="B396" s="66" t="s">
        <v>1579</v>
      </c>
      <c r="C396" s="66">
        <v>15.3</v>
      </c>
      <c r="D396" s="66" t="s">
        <v>1927</v>
      </c>
      <c r="E396" s="66" t="s">
        <v>1534</v>
      </c>
      <c r="F396" s="66" t="s">
        <v>1580</v>
      </c>
      <c r="G396" s="66" t="s">
        <v>1077</v>
      </c>
      <c r="H396" s="66" t="s">
        <v>1581</v>
      </c>
      <c r="I396" s="66" t="s">
        <v>1582</v>
      </c>
      <c r="J396" s="66" t="s">
        <v>1583</v>
      </c>
      <c r="K396" s="66">
        <v>4</v>
      </c>
      <c r="L396" s="66">
        <v>16</v>
      </c>
      <c r="M396" s="66" t="s">
        <v>1093</v>
      </c>
      <c r="N396" s="66"/>
      <c r="O396" s="66" t="s">
        <v>1931</v>
      </c>
      <c r="P396" s="66" t="s">
        <v>1585</v>
      </c>
      <c r="Q396" s="66"/>
      <c r="R396" s="66"/>
      <c r="S396" s="66"/>
      <c r="T396" s="66"/>
      <c r="U396" s="66" t="s">
        <v>1586</v>
      </c>
      <c r="V396" s="66"/>
      <c r="W396" s="66"/>
      <c r="X396" s="66"/>
      <c r="Y396" s="66"/>
      <c r="Z396" s="66"/>
    </row>
    <row r="397" spans="1:26" ht="99.9" hidden="1" customHeight="1" x14ac:dyDescent="0.3">
      <c r="A397" s="66" t="s">
        <v>1932</v>
      </c>
      <c r="B397" s="66" t="s">
        <v>117</v>
      </c>
      <c r="C397" s="66">
        <v>8.4</v>
      </c>
      <c r="D397" s="66" t="s">
        <v>1927</v>
      </c>
      <c r="E397" s="66" t="s">
        <v>1534</v>
      </c>
      <c r="F397" s="66" t="s">
        <v>1598</v>
      </c>
      <c r="G397" s="66" t="s">
        <v>1090</v>
      </c>
      <c r="H397" s="66" t="s">
        <v>1078</v>
      </c>
      <c r="I397" s="66" t="s">
        <v>1599</v>
      </c>
      <c r="J397" s="66" t="s">
        <v>1092</v>
      </c>
      <c r="K397" s="66">
        <v>4</v>
      </c>
      <c r="L397" s="66">
        <v>8</v>
      </c>
      <c r="M397" s="66" t="s">
        <v>1093</v>
      </c>
      <c r="N397" s="66"/>
      <c r="O397" s="66" t="s">
        <v>1933</v>
      </c>
      <c r="P397" s="66" t="s">
        <v>1392</v>
      </c>
      <c r="Q397" s="66"/>
      <c r="R397" s="66"/>
      <c r="S397" s="66"/>
      <c r="T397" s="66"/>
      <c r="U397" s="66" t="s">
        <v>1601</v>
      </c>
      <c r="V397" s="66"/>
      <c r="W397" s="66"/>
      <c r="X397" s="66"/>
      <c r="Y397" s="66"/>
      <c r="Z397" s="66"/>
    </row>
    <row r="398" spans="1:26" ht="99.9" hidden="1" customHeight="1" x14ac:dyDescent="0.3">
      <c r="A398" s="66" t="s">
        <v>1934</v>
      </c>
      <c r="B398" s="66" t="s">
        <v>117</v>
      </c>
      <c r="C398" s="66">
        <v>8.4</v>
      </c>
      <c r="D398" s="66" t="s">
        <v>1927</v>
      </c>
      <c r="E398" s="66" t="s">
        <v>1534</v>
      </c>
      <c r="F398" s="66" t="s">
        <v>1598</v>
      </c>
      <c r="G398" s="66" t="s">
        <v>1090</v>
      </c>
      <c r="H398" s="66" t="s">
        <v>1078</v>
      </c>
      <c r="I398" s="66" t="s">
        <v>1599</v>
      </c>
      <c r="J398" s="66" t="s">
        <v>1092</v>
      </c>
      <c r="K398" s="66">
        <v>4</v>
      </c>
      <c r="L398" s="66">
        <v>8</v>
      </c>
      <c r="M398" s="66" t="s">
        <v>1093</v>
      </c>
      <c r="N398" s="66"/>
      <c r="O398" s="66" t="s">
        <v>1935</v>
      </c>
      <c r="P398" s="66" t="s">
        <v>1392</v>
      </c>
      <c r="Q398" s="66"/>
      <c r="R398" s="66"/>
      <c r="S398" s="66"/>
      <c r="T398" s="66"/>
      <c r="U398" s="66" t="s">
        <v>1601</v>
      </c>
      <c r="V398" s="66"/>
      <c r="W398" s="66"/>
      <c r="X398" s="66"/>
      <c r="Y398" s="66"/>
      <c r="Z398" s="66"/>
    </row>
    <row r="399" spans="1:26" ht="99.9" hidden="1" customHeight="1" x14ac:dyDescent="0.3">
      <c r="A399" s="66" t="s">
        <v>1936</v>
      </c>
      <c r="B399" s="66" t="s">
        <v>117</v>
      </c>
      <c r="C399" s="66">
        <v>8.4</v>
      </c>
      <c r="D399" s="66" t="s">
        <v>1927</v>
      </c>
      <c r="E399" s="66" t="s">
        <v>363</v>
      </c>
      <c r="F399" s="66" t="s">
        <v>1609</v>
      </c>
      <c r="G399" s="66" t="s">
        <v>1077</v>
      </c>
      <c r="H399" s="66" t="s">
        <v>1078</v>
      </c>
      <c r="I399" s="66" t="s">
        <v>1610</v>
      </c>
      <c r="J399" s="66" t="s">
        <v>1080</v>
      </c>
      <c r="K399" s="66">
        <v>2</v>
      </c>
      <c r="L399" s="66">
        <v>8</v>
      </c>
      <c r="M399" s="66" t="s">
        <v>1081</v>
      </c>
      <c r="N399" s="66"/>
      <c r="O399" s="66" t="s">
        <v>1937</v>
      </c>
      <c r="P399" s="66"/>
      <c r="Q399" s="66"/>
      <c r="R399" s="66"/>
      <c r="S399" s="66"/>
      <c r="T399" s="66"/>
      <c r="U399" s="66" t="s">
        <v>1612</v>
      </c>
      <c r="V399" s="66"/>
      <c r="W399" s="66"/>
      <c r="X399" s="66"/>
      <c r="Y399" s="66"/>
      <c r="Z399" s="66"/>
    </row>
    <row r="400" spans="1:26" ht="99.9" customHeight="1" x14ac:dyDescent="0.3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99.9" customHeight="1" x14ac:dyDescent="0.3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99.9" customHeight="1" x14ac:dyDescent="0.3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99.9" customHeight="1" x14ac:dyDescent="0.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99.9" customHeight="1" x14ac:dyDescent="0.3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99.9" customHeight="1" x14ac:dyDescent="0.3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99.9" customHeight="1" x14ac:dyDescent="0.3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99.9" customHeight="1" x14ac:dyDescent="0.3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99.9" customHeight="1" x14ac:dyDescent="0.3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99.9" customHeight="1" x14ac:dyDescent="0.3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99.9" hidden="1" customHeight="1" x14ac:dyDescent="0.3">
      <c r="A410" s="66" t="s">
        <v>1938</v>
      </c>
      <c r="B410" s="66" t="s">
        <v>117</v>
      </c>
      <c r="C410" s="66">
        <v>8.4</v>
      </c>
      <c r="D410" s="66" t="s">
        <v>1526</v>
      </c>
      <c r="E410" s="66" t="s">
        <v>363</v>
      </c>
      <c r="F410" s="66"/>
      <c r="G410" s="66" t="s">
        <v>1090</v>
      </c>
      <c r="H410" s="66" t="s">
        <v>1078</v>
      </c>
      <c r="I410" s="66" t="s">
        <v>1939</v>
      </c>
      <c r="J410" s="66" t="s">
        <v>1080</v>
      </c>
      <c r="K410" s="66">
        <v>4</v>
      </c>
      <c r="L410" s="66">
        <v>16</v>
      </c>
      <c r="M410" s="66" t="s">
        <v>1093</v>
      </c>
      <c r="N410" s="66">
        <v>500</v>
      </c>
      <c r="O410" s="66" t="s">
        <v>1940</v>
      </c>
      <c r="P410" s="66" t="s">
        <v>1409</v>
      </c>
      <c r="Q410" s="66"/>
      <c r="R410" s="66"/>
      <c r="S410" s="66"/>
      <c r="T410" s="66"/>
      <c r="U410" s="66" t="s">
        <v>1612</v>
      </c>
      <c r="V410" s="66"/>
      <c r="W410" s="66"/>
      <c r="X410" s="66"/>
      <c r="Y410" s="66"/>
      <c r="Z410" s="66"/>
    </row>
    <row r="411" spans="1:26" ht="99.9" hidden="1" customHeight="1" x14ac:dyDescent="0.3">
      <c r="A411" s="66" t="s">
        <v>1941</v>
      </c>
      <c r="B411" s="66" t="s">
        <v>117</v>
      </c>
      <c r="C411" s="66">
        <v>8.4</v>
      </c>
      <c r="D411" s="66" t="s">
        <v>1927</v>
      </c>
      <c r="E411" s="66" t="s">
        <v>363</v>
      </c>
      <c r="F411" s="66" t="s">
        <v>1089</v>
      </c>
      <c r="G411" s="66" t="s">
        <v>1090</v>
      </c>
      <c r="H411" s="66" t="s">
        <v>1078</v>
      </c>
      <c r="I411" s="66" t="s">
        <v>1091</v>
      </c>
      <c r="J411" s="66" t="s">
        <v>1092</v>
      </c>
      <c r="K411" s="66">
        <v>8</v>
      </c>
      <c r="L411" s="66">
        <v>16</v>
      </c>
      <c r="M411" s="66" t="s">
        <v>1093</v>
      </c>
      <c r="N411" s="66">
        <v>100</v>
      </c>
      <c r="O411" s="66" t="s">
        <v>1942</v>
      </c>
      <c r="P411" s="66" t="s">
        <v>1095</v>
      </c>
      <c r="Q411" s="66"/>
      <c r="R411" s="66"/>
      <c r="S411" s="66"/>
      <c r="T411" s="66"/>
      <c r="U411" s="66" t="s">
        <v>1601</v>
      </c>
      <c r="V411" s="66"/>
      <c r="W411" s="66"/>
      <c r="X411" s="66"/>
      <c r="Y411" s="66"/>
      <c r="Z411" s="66"/>
    </row>
    <row r="412" spans="1:26" ht="99.9" hidden="1" customHeight="1" x14ac:dyDescent="0.3">
      <c r="A412" s="66" t="s">
        <v>1943</v>
      </c>
      <c r="B412" s="66" t="s">
        <v>117</v>
      </c>
      <c r="C412" s="66">
        <v>8.4</v>
      </c>
      <c r="D412" s="66" t="s">
        <v>1927</v>
      </c>
      <c r="E412" s="66" t="s">
        <v>363</v>
      </c>
      <c r="F412" s="66" t="s">
        <v>1089</v>
      </c>
      <c r="G412" s="66" t="s">
        <v>1090</v>
      </c>
      <c r="H412" s="66" t="s">
        <v>1078</v>
      </c>
      <c r="I412" s="66" t="s">
        <v>1091</v>
      </c>
      <c r="J412" s="66" t="s">
        <v>1092</v>
      </c>
      <c r="K412" s="66">
        <v>8</v>
      </c>
      <c r="L412" s="66">
        <v>16</v>
      </c>
      <c r="M412" s="66" t="s">
        <v>1093</v>
      </c>
      <c r="N412" s="66">
        <v>100</v>
      </c>
      <c r="O412" s="66" t="s">
        <v>1944</v>
      </c>
      <c r="P412" s="66" t="s">
        <v>1095</v>
      </c>
      <c r="Q412" s="66"/>
      <c r="R412" s="66"/>
      <c r="S412" s="66"/>
      <c r="T412" s="66"/>
      <c r="U412" s="66" t="s">
        <v>1601</v>
      </c>
      <c r="V412" s="66"/>
      <c r="W412" s="66"/>
      <c r="X412" s="66"/>
      <c r="Y412" s="66"/>
      <c r="Z412" s="66"/>
    </row>
    <row r="413" spans="1:26" ht="99.9" hidden="1" customHeight="1" x14ac:dyDescent="0.3">
      <c r="A413" s="66" t="s">
        <v>1945</v>
      </c>
      <c r="B413" s="66" t="s">
        <v>117</v>
      </c>
      <c r="C413" s="66">
        <v>8.4</v>
      </c>
      <c r="D413" s="66" t="s">
        <v>1927</v>
      </c>
      <c r="E413" s="66" t="s">
        <v>363</v>
      </c>
      <c r="F413" s="66" t="s">
        <v>1089</v>
      </c>
      <c r="G413" s="66" t="s">
        <v>1090</v>
      </c>
      <c r="H413" s="66" t="s">
        <v>1078</v>
      </c>
      <c r="I413" s="66" t="s">
        <v>1091</v>
      </c>
      <c r="J413" s="66" t="s">
        <v>1092</v>
      </c>
      <c r="K413" s="66">
        <v>8</v>
      </c>
      <c r="L413" s="66">
        <v>16</v>
      </c>
      <c r="M413" s="66" t="s">
        <v>1093</v>
      </c>
      <c r="N413" s="66">
        <v>100</v>
      </c>
      <c r="O413" s="66" t="s">
        <v>1946</v>
      </c>
      <c r="P413" s="66" t="s">
        <v>1095</v>
      </c>
      <c r="Q413" s="66"/>
      <c r="R413" s="66"/>
      <c r="S413" s="66"/>
      <c r="T413" s="66"/>
      <c r="U413" s="66" t="s">
        <v>1601</v>
      </c>
      <c r="V413" s="66"/>
      <c r="W413" s="66"/>
      <c r="X413" s="66"/>
      <c r="Y413" s="66"/>
      <c r="Z413" s="66"/>
    </row>
    <row r="414" spans="1:26" ht="99.9" hidden="1" customHeight="1" x14ac:dyDescent="0.3">
      <c r="A414" s="66" t="s">
        <v>1947</v>
      </c>
      <c r="B414" s="66" t="s">
        <v>117</v>
      </c>
      <c r="C414" s="66">
        <v>8.4</v>
      </c>
      <c r="D414" s="66" t="s">
        <v>1927</v>
      </c>
      <c r="E414" s="66" t="s">
        <v>363</v>
      </c>
      <c r="F414" s="66" t="s">
        <v>1089</v>
      </c>
      <c r="G414" s="66" t="s">
        <v>1090</v>
      </c>
      <c r="H414" s="66" t="s">
        <v>1078</v>
      </c>
      <c r="I414" s="66" t="s">
        <v>1091</v>
      </c>
      <c r="J414" s="66" t="s">
        <v>1092</v>
      </c>
      <c r="K414" s="66">
        <v>8</v>
      </c>
      <c r="L414" s="66">
        <v>16</v>
      </c>
      <c r="M414" s="66" t="s">
        <v>1093</v>
      </c>
      <c r="N414" s="66">
        <v>100</v>
      </c>
      <c r="O414" s="66" t="s">
        <v>1948</v>
      </c>
      <c r="P414" s="66" t="s">
        <v>1095</v>
      </c>
      <c r="Q414" s="66"/>
      <c r="R414" s="66"/>
      <c r="S414" s="66"/>
      <c r="T414" s="66"/>
      <c r="U414" s="66" t="s">
        <v>1601</v>
      </c>
      <c r="V414" s="66"/>
      <c r="W414" s="66"/>
      <c r="X414" s="66"/>
      <c r="Y414" s="66"/>
      <c r="Z414" s="66"/>
    </row>
    <row r="415" spans="1:26" ht="99.9" hidden="1" customHeight="1" x14ac:dyDescent="0.3">
      <c r="A415" s="66" t="s">
        <v>1949</v>
      </c>
      <c r="B415" s="66" t="s">
        <v>117</v>
      </c>
      <c r="C415" s="66">
        <v>8.4</v>
      </c>
      <c r="D415" s="66" t="s">
        <v>1927</v>
      </c>
      <c r="E415" s="66" t="s">
        <v>363</v>
      </c>
      <c r="F415" s="66" t="s">
        <v>1117</v>
      </c>
      <c r="G415" s="66" t="s">
        <v>1090</v>
      </c>
      <c r="H415" s="66" t="s">
        <v>1118</v>
      </c>
      <c r="I415" s="66" t="s">
        <v>1119</v>
      </c>
      <c r="J415" s="66" t="s">
        <v>1120</v>
      </c>
      <c r="K415" s="66">
        <v>8</v>
      </c>
      <c r="L415" s="66">
        <v>32</v>
      </c>
      <c r="M415" s="66" t="s">
        <v>1093</v>
      </c>
      <c r="N415" s="66">
        <v>300</v>
      </c>
      <c r="O415" s="66" t="s">
        <v>1950</v>
      </c>
      <c r="P415" s="66" t="s">
        <v>1122</v>
      </c>
      <c r="Q415" s="66" t="s">
        <v>1951</v>
      </c>
      <c r="R415" s="66" t="s">
        <v>1124</v>
      </c>
      <c r="S415" s="66"/>
      <c r="T415" s="66"/>
      <c r="U415" s="66" t="s">
        <v>1125</v>
      </c>
      <c r="V415" s="66"/>
      <c r="W415" s="66"/>
      <c r="X415" s="66"/>
      <c r="Y415" s="66"/>
      <c r="Z415" s="66"/>
    </row>
    <row r="416" spans="1:26" ht="99.9" hidden="1" customHeight="1" x14ac:dyDescent="0.3">
      <c r="A416" s="66" t="s">
        <v>1952</v>
      </c>
      <c r="B416" s="66" t="s">
        <v>117</v>
      </c>
      <c r="C416" s="66">
        <v>8.4</v>
      </c>
      <c r="D416" s="66" t="s">
        <v>1927</v>
      </c>
      <c r="E416" s="66" t="s">
        <v>363</v>
      </c>
      <c r="F416" s="66" t="s">
        <v>1117</v>
      </c>
      <c r="G416" s="66" t="s">
        <v>1090</v>
      </c>
      <c r="H416" s="66" t="s">
        <v>1118</v>
      </c>
      <c r="I416" s="66" t="s">
        <v>1119</v>
      </c>
      <c r="J416" s="66" t="s">
        <v>1120</v>
      </c>
      <c r="K416" s="66">
        <v>8</v>
      </c>
      <c r="L416" s="66">
        <v>32</v>
      </c>
      <c r="M416" s="66" t="s">
        <v>1093</v>
      </c>
      <c r="N416" s="66">
        <v>300</v>
      </c>
      <c r="O416" s="66" t="s">
        <v>1953</v>
      </c>
      <c r="P416" s="66" t="s">
        <v>1122</v>
      </c>
      <c r="Q416" s="66" t="s">
        <v>1951</v>
      </c>
      <c r="R416" s="66" t="s">
        <v>1124</v>
      </c>
      <c r="S416" s="66"/>
      <c r="T416" s="66"/>
      <c r="U416" s="66" t="s">
        <v>1125</v>
      </c>
      <c r="V416" s="66"/>
      <c r="W416" s="66"/>
      <c r="X416" s="66"/>
      <c r="Y416" s="66"/>
      <c r="Z416" s="66"/>
    </row>
    <row r="417" spans="1:26" ht="99.9" hidden="1" customHeight="1" x14ac:dyDescent="0.3">
      <c r="A417" s="66" t="s">
        <v>1954</v>
      </c>
      <c r="B417" s="66" t="s">
        <v>117</v>
      </c>
      <c r="C417" s="66">
        <v>8.4</v>
      </c>
      <c r="D417" s="66" t="s">
        <v>1927</v>
      </c>
      <c r="E417" s="66" t="s">
        <v>363</v>
      </c>
      <c r="F417" s="66" t="s">
        <v>1117</v>
      </c>
      <c r="G417" s="66" t="s">
        <v>1090</v>
      </c>
      <c r="H417" s="66" t="s">
        <v>1118</v>
      </c>
      <c r="I417" s="66" t="s">
        <v>1119</v>
      </c>
      <c r="J417" s="66" t="s">
        <v>1120</v>
      </c>
      <c r="K417" s="66">
        <v>8</v>
      </c>
      <c r="L417" s="66">
        <v>32</v>
      </c>
      <c r="M417" s="66" t="s">
        <v>1093</v>
      </c>
      <c r="N417" s="66">
        <v>300</v>
      </c>
      <c r="O417" s="66" t="s">
        <v>1955</v>
      </c>
      <c r="P417" s="66" t="s">
        <v>1122</v>
      </c>
      <c r="Q417" s="66" t="s">
        <v>1951</v>
      </c>
      <c r="R417" s="66" t="s">
        <v>1124</v>
      </c>
      <c r="S417" s="66"/>
      <c r="T417" s="66"/>
      <c r="U417" s="66" t="s">
        <v>1125</v>
      </c>
      <c r="V417" s="66"/>
      <c r="W417" s="66"/>
      <c r="X417" s="66"/>
      <c r="Y417" s="66"/>
      <c r="Z417" s="66"/>
    </row>
    <row r="418" spans="1:26" ht="99.9" hidden="1" customHeight="1" x14ac:dyDescent="0.3">
      <c r="A418" s="66" t="s">
        <v>1956</v>
      </c>
      <c r="B418" s="66" t="s">
        <v>117</v>
      </c>
      <c r="C418" s="66">
        <v>8.4</v>
      </c>
      <c r="D418" s="66" t="s">
        <v>1927</v>
      </c>
      <c r="E418" s="66" t="s">
        <v>363</v>
      </c>
      <c r="F418" s="66" t="s">
        <v>1135</v>
      </c>
      <c r="G418" s="66" t="s">
        <v>1090</v>
      </c>
      <c r="H418" s="66" t="s">
        <v>1136</v>
      </c>
      <c r="I418" s="66" t="s">
        <v>1137</v>
      </c>
      <c r="J418" s="66"/>
      <c r="K418" s="66">
        <v>8</v>
      </c>
      <c r="L418" s="66">
        <v>32</v>
      </c>
      <c r="M418" s="66" t="s">
        <v>1093</v>
      </c>
      <c r="N418" s="66">
        <v>100</v>
      </c>
      <c r="O418" s="66" t="s">
        <v>1957</v>
      </c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99.9" hidden="1" customHeight="1" x14ac:dyDescent="0.3">
      <c r="A419" s="66" t="s">
        <v>1958</v>
      </c>
      <c r="B419" s="66" t="s">
        <v>117</v>
      </c>
      <c r="C419" s="66">
        <v>8.4</v>
      </c>
      <c r="D419" s="66" t="s">
        <v>1927</v>
      </c>
      <c r="E419" s="66" t="s">
        <v>363</v>
      </c>
      <c r="F419" s="66" t="s">
        <v>1141</v>
      </c>
      <c r="G419" s="66" t="s">
        <v>1090</v>
      </c>
      <c r="H419" s="66" t="s">
        <v>1142</v>
      </c>
      <c r="I419" s="66" t="s">
        <v>1642</v>
      </c>
      <c r="J419" s="66"/>
      <c r="K419" s="66">
        <v>4</v>
      </c>
      <c r="L419" s="66">
        <v>16</v>
      </c>
      <c r="M419" s="66" t="s">
        <v>1093</v>
      </c>
      <c r="N419" s="66">
        <v>100</v>
      </c>
      <c r="O419" s="66" t="s">
        <v>1959</v>
      </c>
      <c r="P419" s="66"/>
      <c r="Q419" s="66"/>
      <c r="R419" s="66" t="s">
        <v>1145</v>
      </c>
      <c r="S419" s="66"/>
      <c r="T419" s="66"/>
      <c r="U419" s="66"/>
      <c r="V419" s="66"/>
      <c r="W419" s="66"/>
      <c r="X419" s="66"/>
      <c r="Y419" s="66"/>
      <c r="Z419" s="66"/>
    </row>
    <row r="420" spans="1:26" ht="99.9" hidden="1" customHeight="1" x14ac:dyDescent="0.3">
      <c r="A420" s="66" t="s">
        <v>1960</v>
      </c>
      <c r="B420" s="66" t="s">
        <v>117</v>
      </c>
      <c r="C420" s="66">
        <v>8.4</v>
      </c>
      <c r="D420" s="66" t="s">
        <v>1927</v>
      </c>
      <c r="E420" s="66" t="s">
        <v>363</v>
      </c>
      <c r="F420" s="66" t="s">
        <v>1141</v>
      </c>
      <c r="G420" s="66" t="s">
        <v>1090</v>
      </c>
      <c r="H420" s="66" t="s">
        <v>1142</v>
      </c>
      <c r="I420" s="66" t="s">
        <v>1645</v>
      </c>
      <c r="J420" s="66"/>
      <c r="K420" s="66">
        <v>4</v>
      </c>
      <c r="L420" s="66">
        <v>16</v>
      </c>
      <c r="M420" s="66" t="s">
        <v>1093</v>
      </c>
      <c r="N420" s="66">
        <v>100</v>
      </c>
      <c r="O420" s="66" t="s">
        <v>1961</v>
      </c>
      <c r="P420" s="66"/>
      <c r="Q420" s="66"/>
      <c r="R420" s="66" t="s">
        <v>1145</v>
      </c>
      <c r="S420" s="66"/>
      <c r="T420" s="66"/>
      <c r="U420" s="66"/>
      <c r="V420" s="66"/>
      <c r="W420" s="66"/>
      <c r="X420" s="66"/>
      <c r="Y420" s="66"/>
      <c r="Z420" s="66"/>
    </row>
    <row r="421" spans="1:26" ht="99.9" hidden="1" customHeight="1" x14ac:dyDescent="0.3">
      <c r="A421" s="66" t="s">
        <v>1962</v>
      </c>
      <c r="B421" s="66" t="s">
        <v>117</v>
      </c>
      <c r="C421" s="66">
        <v>8.4</v>
      </c>
      <c r="D421" s="66" t="s">
        <v>1927</v>
      </c>
      <c r="E421" s="66" t="s">
        <v>363</v>
      </c>
      <c r="F421" s="66" t="s">
        <v>1141</v>
      </c>
      <c r="G421" s="66" t="s">
        <v>1090</v>
      </c>
      <c r="H421" s="66" t="s">
        <v>1142</v>
      </c>
      <c r="I421" s="66" t="s">
        <v>1648</v>
      </c>
      <c r="J421" s="66"/>
      <c r="K421" s="66">
        <v>4</v>
      </c>
      <c r="L421" s="66">
        <v>16</v>
      </c>
      <c r="M421" s="66" t="s">
        <v>1093</v>
      </c>
      <c r="N421" s="66">
        <v>100</v>
      </c>
      <c r="O421" s="66" t="s">
        <v>1963</v>
      </c>
      <c r="P421" s="66"/>
      <c r="Q421" s="66"/>
      <c r="R421" s="66" t="s">
        <v>1145</v>
      </c>
      <c r="S421" s="66"/>
      <c r="T421" s="66"/>
      <c r="U421" s="66"/>
      <c r="V421" s="66"/>
      <c r="W421" s="66"/>
      <c r="X421" s="66"/>
      <c r="Y421" s="66"/>
      <c r="Z421" s="66"/>
    </row>
    <row r="422" spans="1:26" ht="99.9" hidden="1" customHeight="1" x14ac:dyDescent="0.3">
      <c r="A422" s="66" t="s">
        <v>1964</v>
      </c>
      <c r="B422" s="66" t="s">
        <v>117</v>
      </c>
      <c r="C422" s="66">
        <v>8.4</v>
      </c>
      <c r="D422" s="66" t="s">
        <v>1927</v>
      </c>
      <c r="E422" s="66" t="s">
        <v>363</v>
      </c>
      <c r="F422" s="66" t="s">
        <v>1141</v>
      </c>
      <c r="G422" s="66" t="s">
        <v>1090</v>
      </c>
      <c r="H422" s="66" t="s">
        <v>1142</v>
      </c>
      <c r="I422" s="66" t="s">
        <v>1651</v>
      </c>
      <c r="J422" s="66"/>
      <c r="K422" s="66">
        <v>4</v>
      </c>
      <c r="L422" s="66">
        <v>16</v>
      </c>
      <c r="M422" s="66" t="s">
        <v>1093</v>
      </c>
      <c r="N422" s="66">
        <v>100</v>
      </c>
      <c r="O422" s="66" t="s">
        <v>1965</v>
      </c>
      <c r="P422" s="66"/>
      <c r="Q422" s="66"/>
      <c r="R422" s="66" t="s">
        <v>1145</v>
      </c>
      <c r="S422" s="66"/>
      <c r="T422" s="66"/>
      <c r="U422" s="66"/>
      <c r="V422" s="66"/>
      <c r="W422" s="66"/>
      <c r="X422" s="66"/>
      <c r="Y422" s="66"/>
      <c r="Z422" s="66"/>
    </row>
    <row r="423" spans="1:26" ht="99.9" hidden="1" customHeight="1" x14ac:dyDescent="0.3">
      <c r="A423" s="66" t="s">
        <v>1966</v>
      </c>
      <c r="B423" s="66" t="s">
        <v>117</v>
      </c>
      <c r="C423" s="66">
        <v>8.4</v>
      </c>
      <c r="D423" s="66" t="s">
        <v>1927</v>
      </c>
      <c r="E423" s="66" t="s">
        <v>363</v>
      </c>
      <c r="F423" s="66" t="s">
        <v>1135</v>
      </c>
      <c r="G423" s="66" t="s">
        <v>1090</v>
      </c>
      <c r="H423" s="66" t="s">
        <v>1169</v>
      </c>
      <c r="I423" s="66" t="s">
        <v>1654</v>
      </c>
      <c r="J423" s="66" t="s">
        <v>1171</v>
      </c>
      <c r="K423" s="66">
        <v>4</v>
      </c>
      <c r="L423" s="66">
        <v>32</v>
      </c>
      <c r="M423" s="66" t="s">
        <v>1093</v>
      </c>
      <c r="N423" s="66"/>
      <c r="O423" s="66" t="s">
        <v>1967</v>
      </c>
      <c r="P423" s="66" t="s">
        <v>1173</v>
      </c>
      <c r="Q423" s="66"/>
      <c r="R423" s="66"/>
      <c r="S423" s="66"/>
      <c r="T423" s="66"/>
      <c r="U423" s="66" t="s">
        <v>1656</v>
      </c>
      <c r="V423" s="66"/>
      <c r="W423" s="66"/>
      <c r="X423" s="66"/>
      <c r="Y423" s="66"/>
      <c r="Z423" s="66"/>
    </row>
    <row r="424" spans="1:26" ht="99.9" hidden="1" customHeight="1" x14ac:dyDescent="0.3">
      <c r="A424" s="66" t="s">
        <v>1968</v>
      </c>
      <c r="B424" s="66" t="s">
        <v>117</v>
      </c>
      <c r="C424" s="66">
        <v>8.4</v>
      </c>
      <c r="D424" s="66" t="s">
        <v>1927</v>
      </c>
      <c r="E424" s="66" t="s">
        <v>363</v>
      </c>
      <c r="F424" s="66" t="s">
        <v>1189</v>
      </c>
      <c r="G424" s="66" t="s">
        <v>1090</v>
      </c>
      <c r="H424" s="66" t="s">
        <v>1183</v>
      </c>
      <c r="I424" s="66" t="s">
        <v>1658</v>
      </c>
      <c r="J424" s="66"/>
      <c r="K424" s="66">
        <v>4</v>
      </c>
      <c r="L424" s="66">
        <v>16</v>
      </c>
      <c r="M424" s="66" t="s">
        <v>1093</v>
      </c>
      <c r="N424" s="66">
        <v>100</v>
      </c>
      <c r="O424" s="66" t="s">
        <v>1969</v>
      </c>
      <c r="P424" s="66"/>
      <c r="Q424" s="66"/>
      <c r="R424" s="66" t="s">
        <v>1192</v>
      </c>
      <c r="S424" s="66"/>
      <c r="T424" s="66"/>
      <c r="U424" s="66"/>
      <c r="V424" s="66"/>
      <c r="W424" s="66"/>
      <c r="X424" s="66"/>
      <c r="Y424" s="66"/>
      <c r="Z424" s="66"/>
    </row>
    <row r="425" spans="1:26" ht="99.9" hidden="1" customHeight="1" x14ac:dyDescent="0.3">
      <c r="A425" s="66" t="s">
        <v>1970</v>
      </c>
      <c r="B425" s="66" t="s">
        <v>117</v>
      </c>
      <c r="C425" s="66">
        <v>8.4</v>
      </c>
      <c r="D425" s="66" t="s">
        <v>1927</v>
      </c>
      <c r="E425" s="66" t="s">
        <v>363</v>
      </c>
      <c r="F425" s="66" t="s">
        <v>1189</v>
      </c>
      <c r="G425" s="66" t="s">
        <v>1090</v>
      </c>
      <c r="H425" s="66" t="s">
        <v>1183</v>
      </c>
      <c r="I425" s="66" t="s">
        <v>1658</v>
      </c>
      <c r="J425" s="66"/>
      <c r="K425" s="66">
        <v>4</v>
      </c>
      <c r="L425" s="66">
        <v>16</v>
      </c>
      <c r="M425" s="66" t="s">
        <v>1093</v>
      </c>
      <c r="N425" s="66">
        <v>100</v>
      </c>
      <c r="O425" s="66" t="s">
        <v>1971</v>
      </c>
      <c r="P425" s="66"/>
      <c r="Q425" s="66"/>
      <c r="R425" s="66" t="s">
        <v>1192</v>
      </c>
      <c r="S425" s="66"/>
      <c r="T425" s="66"/>
      <c r="U425" s="66"/>
      <c r="V425" s="66"/>
      <c r="W425" s="66"/>
      <c r="X425" s="66"/>
      <c r="Y425" s="66"/>
      <c r="Z425" s="66"/>
    </row>
    <row r="426" spans="1:26" ht="99.9" hidden="1" customHeight="1" x14ac:dyDescent="0.3">
      <c r="A426" s="66" t="s">
        <v>1972</v>
      </c>
      <c r="B426" s="66" t="s">
        <v>117</v>
      </c>
      <c r="C426" s="66">
        <v>8.4</v>
      </c>
      <c r="D426" s="66" t="s">
        <v>1927</v>
      </c>
      <c r="E426" s="66" t="s">
        <v>363</v>
      </c>
      <c r="F426" s="66" t="s">
        <v>1189</v>
      </c>
      <c r="G426" s="66" t="s">
        <v>1090</v>
      </c>
      <c r="H426" s="66" t="s">
        <v>1183</v>
      </c>
      <c r="I426" s="66" t="s">
        <v>1658</v>
      </c>
      <c r="J426" s="66"/>
      <c r="K426" s="66">
        <v>4</v>
      </c>
      <c r="L426" s="66">
        <v>16</v>
      </c>
      <c r="M426" s="66" t="s">
        <v>1093</v>
      </c>
      <c r="N426" s="66">
        <v>100</v>
      </c>
      <c r="O426" s="66" t="s">
        <v>1973</v>
      </c>
      <c r="P426" s="66"/>
      <c r="Q426" s="66"/>
      <c r="R426" s="66" t="s">
        <v>1192</v>
      </c>
      <c r="S426" s="66"/>
      <c r="T426" s="66"/>
      <c r="U426" s="66"/>
      <c r="V426" s="66"/>
      <c r="W426" s="66"/>
      <c r="X426" s="66"/>
      <c r="Y426" s="66"/>
      <c r="Z426" s="66"/>
    </row>
    <row r="427" spans="1:26" ht="99.9" hidden="1" customHeight="1" x14ac:dyDescent="0.3">
      <c r="A427" s="66" t="s">
        <v>1974</v>
      </c>
      <c r="B427" s="66" t="s">
        <v>117</v>
      </c>
      <c r="C427" s="66">
        <v>8.4</v>
      </c>
      <c r="D427" s="66" t="s">
        <v>1927</v>
      </c>
      <c r="E427" s="66" t="s">
        <v>363</v>
      </c>
      <c r="F427" s="66" t="s">
        <v>1189</v>
      </c>
      <c r="G427" s="66" t="s">
        <v>1090</v>
      </c>
      <c r="H427" s="66" t="s">
        <v>1183</v>
      </c>
      <c r="I427" s="66" t="s">
        <v>1665</v>
      </c>
      <c r="J427" s="66"/>
      <c r="K427" s="66">
        <v>4</v>
      </c>
      <c r="L427" s="66">
        <v>16</v>
      </c>
      <c r="M427" s="66" t="s">
        <v>1093</v>
      </c>
      <c r="N427" s="66">
        <v>100</v>
      </c>
      <c r="O427" s="66" t="s">
        <v>1975</v>
      </c>
      <c r="P427" s="66"/>
      <c r="Q427" s="66"/>
      <c r="R427" s="66" t="s">
        <v>1210</v>
      </c>
      <c r="S427" s="66"/>
      <c r="T427" s="66"/>
      <c r="U427" s="66"/>
      <c r="V427" s="66"/>
      <c r="W427" s="66"/>
      <c r="X427" s="66"/>
      <c r="Y427" s="66"/>
      <c r="Z427" s="66"/>
    </row>
    <row r="428" spans="1:26" ht="99.9" hidden="1" customHeight="1" x14ac:dyDescent="0.3">
      <c r="A428" s="66" t="s">
        <v>1976</v>
      </c>
      <c r="B428" s="66" t="s">
        <v>117</v>
      </c>
      <c r="C428" s="66">
        <v>8.4</v>
      </c>
      <c r="D428" s="66" t="s">
        <v>1927</v>
      </c>
      <c r="E428" s="66" t="s">
        <v>363</v>
      </c>
      <c r="F428" s="66" t="s">
        <v>1189</v>
      </c>
      <c r="G428" s="66" t="s">
        <v>1090</v>
      </c>
      <c r="H428" s="66" t="s">
        <v>1183</v>
      </c>
      <c r="I428" s="66" t="s">
        <v>1665</v>
      </c>
      <c r="J428" s="66"/>
      <c r="K428" s="66">
        <v>4</v>
      </c>
      <c r="L428" s="66">
        <v>16</v>
      </c>
      <c r="M428" s="66" t="s">
        <v>1093</v>
      </c>
      <c r="N428" s="66">
        <v>100</v>
      </c>
      <c r="O428" s="66" t="s">
        <v>1977</v>
      </c>
      <c r="P428" s="66"/>
      <c r="Q428" s="66"/>
      <c r="R428" s="66" t="s">
        <v>1210</v>
      </c>
      <c r="S428" s="66"/>
      <c r="T428" s="66"/>
      <c r="U428" s="66"/>
      <c r="V428" s="66"/>
      <c r="W428" s="66"/>
      <c r="X428" s="66"/>
      <c r="Y428" s="66"/>
      <c r="Z428" s="66"/>
    </row>
    <row r="429" spans="1:26" ht="99.9" hidden="1" customHeight="1" x14ac:dyDescent="0.3">
      <c r="A429" s="66" t="s">
        <v>1978</v>
      </c>
      <c r="B429" s="66" t="s">
        <v>117</v>
      </c>
      <c r="C429" s="66">
        <v>8.4</v>
      </c>
      <c r="D429" s="66" t="s">
        <v>1927</v>
      </c>
      <c r="E429" s="66" t="s">
        <v>363</v>
      </c>
      <c r="F429" s="66" t="s">
        <v>1189</v>
      </c>
      <c r="G429" s="66" t="s">
        <v>1090</v>
      </c>
      <c r="H429" s="66" t="s">
        <v>1183</v>
      </c>
      <c r="I429" s="66" t="s">
        <v>1665</v>
      </c>
      <c r="J429" s="66"/>
      <c r="K429" s="66">
        <v>4</v>
      </c>
      <c r="L429" s="66">
        <v>16</v>
      </c>
      <c r="M429" s="66" t="s">
        <v>1093</v>
      </c>
      <c r="N429" s="66">
        <v>100</v>
      </c>
      <c r="O429" s="66" t="s">
        <v>1979</v>
      </c>
      <c r="P429" s="66"/>
      <c r="Q429" s="66"/>
      <c r="R429" s="66" t="s">
        <v>1210</v>
      </c>
      <c r="S429" s="66"/>
      <c r="T429" s="66"/>
      <c r="U429" s="66"/>
      <c r="V429" s="66"/>
      <c r="W429" s="66"/>
      <c r="X429" s="66"/>
      <c r="Y429" s="66"/>
      <c r="Z429" s="66"/>
    </row>
    <row r="430" spans="1:26" ht="99.9" hidden="1" customHeight="1" x14ac:dyDescent="0.3">
      <c r="A430" s="66" t="s">
        <v>1980</v>
      </c>
      <c r="B430" s="66" t="s">
        <v>117</v>
      </c>
      <c r="C430" s="66">
        <v>8.4</v>
      </c>
      <c r="D430" s="66" t="s">
        <v>1927</v>
      </c>
      <c r="E430" s="66" t="s">
        <v>363</v>
      </c>
      <c r="F430" s="66" t="s">
        <v>1189</v>
      </c>
      <c r="G430" s="66" t="s">
        <v>1090</v>
      </c>
      <c r="H430" s="66" t="s">
        <v>1183</v>
      </c>
      <c r="I430" s="66" t="s">
        <v>1672</v>
      </c>
      <c r="J430" s="66"/>
      <c r="K430" s="66">
        <v>4</v>
      </c>
      <c r="L430" s="66">
        <v>16</v>
      </c>
      <c r="M430" s="66" t="s">
        <v>1093</v>
      </c>
      <c r="N430" s="66">
        <v>100</v>
      </c>
      <c r="O430" s="66" t="s">
        <v>1981</v>
      </c>
      <c r="P430" s="66"/>
      <c r="Q430" s="66"/>
      <c r="R430" s="66" t="s">
        <v>1232</v>
      </c>
      <c r="S430" s="66"/>
      <c r="T430" s="66"/>
      <c r="U430" s="66"/>
      <c r="V430" s="66"/>
      <c r="W430" s="66"/>
      <c r="X430" s="66"/>
      <c r="Y430" s="66"/>
      <c r="Z430" s="66"/>
    </row>
    <row r="431" spans="1:26" ht="99.9" hidden="1" customHeight="1" x14ac:dyDescent="0.3">
      <c r="A431" s="66" t="s">
        <v>1982</v>
      </c>
      <c r="B431" s="66" t="s">
        <v>117</v>
      </c>
      <c r="C431" s="66">
        <v>8.4</v>
      </c>
      <c r="D431" s="66" t="s">
        <v>1927</v>
      </c>
      <c r="E431" s="66" t="s">
        <v>363</v>
      </c>
      <c r="F431" s="66" t="s">
        <v>1189</v>
      </c>
      <c r="G431" s="66" t="s">
        <v>1090</v>
      </c>
      <c r="H431" s="66" t="s">
        <v>1183</v>
      </c>
      <c r="I431" s="66" t="s">
        <v>1675</v>
      </c>
      <c r="J431" s="66"/>
      <c r="K431" s="66">
        <v>4</v>
      </c>
      <c r="L431" s="66">
        <v>16</v>
      </c>
      <c r="M431" s="66" t="s">
        <v>1093</v>
      </c>
      <c r="N431" s="66">
        <v>100</v>
      </c>
      <c r="O431" s="66" t="s">
        <v>1983</v>
      </c>
      <c r="P431" s="66"/>
      <c r="Q431" s="66"/>
      <c r="R431" s="66" t="s">
        <v>1232</v>
      </c>
      <c r="S431" s="66"/>
      <c r="T431" s="66"/>
      <c r="U431" s="66"/>
      <c r="V431" s="66"/>
      <c r="W431" s="66"/>
      <c r="X431" s="66"/>
      <c r="Y431" s="66"/>
      <c r="Z431" s="66"/>
    </row>
    <row r="432" spans="1:26" ht="99.9" hidden="1" customHeight="1" x14ac:dyDescent="0.3">
      <c r="A432" s="66" t="s">
        <v>1984</v>
      </c>
      <c r="B432" s="66" t="s">
        <v>117</v>
      </c>
      <c r="C432" s="66">
        <v>8.4</v>
      </c>
      <c r="D432" s="66" t="s">
        <v>1927</v>
      </c>
      <c r="E432" s="66" t="s">
        <v>363</v>
      </c>
      <c r="F432" s="66" t="s">
        <v>1141</v>
      </c>
      <c r="G432" s="66" t="s">
        <v>1090</v>
      </c>
      <c r="H432" s="66" t="s">
        <v>1183</v>
      </c>
      <c r="I432" s="66" t="s">
        <v>1245</v>
      </c>
      <c r="J432" s="66"/>
      <c r="K432" s="66">
        <v>4</v>
      </c>
      <c r="L432" s="66">
        <v>16</v>
      </c>
      <c r="M432" s="66" t="s">
        <v>1093</v>
      </c>
      <c r="N432" s="66">
        <v>100</v>
      </c>
      <c r="O432" s="66" t="s">
        <v>1985</v>
      </c>
      <c r="P432" s="66"/>
      <c r="Q432" s="66"/>
      <c r="R432" s="66" t="s">
        <v>1247</v>
      </c>
      <c r="S432" s="66"/>
      <c r="T432" s="66"/>
      <c r="U432" s="66"/>
      <c r="V432" s="66"/>
      <c r="W432" s="66"/>
      <c r="X432" s="66"/>
      <c r="Y432" s="66"/>
      <c r="Z432" s="66"/>
    </row>
    <row r="433" spans="1:26" ht="99.9" hidden="1" customHeight="1" x14ac:dyDescent="0.3">
      <c r="A433" s="66" t="s">
        <v>1986</v>
      </c>
      <c r="B433" s="66" t="s">
        <v>117</v>
      </c>
      <c r="C433" s="66">
        <v>8.4</v>
      </c>
      <c r="D433" s="66" t="s">
        <v>1927</v>
      </c>
      <c r="E433" s="66" t="s">
        <v>363</v>
      </c>
      <c r="F433" s="66" t="s">
        <v>1141</v>
      </c>
      <c r="G433" s="66" t="s">
        <v>1090</v>
      </c>
      <c r="H433" s="66" t="s">
        <v>1183</v>
      </c>
      <c r="I433" s="66" t="s">
        <v>1245</v>
      </c>
      <c r="J433" s="66"/>
      <c r="K433" s="66">
        <v>4</v>
      </c>
      <c r="L433" s="66">
        <v>16</v>
      </c>
      <c r="M433" s="66" t="s">
        <v>1093</v>
      </c>
      <c r="N433" s="66">
        <v>100</v>
      </c>
      <c r="O433" s="66" t="s">
        <v>1987</v>
      </c>
      <c r="P433" s="66"/>
      <c r="Q433" s="66"/>
      <c r="R433" s="66" t="s">
        <v>1247</v>
      </c>
      <c r="S433" s="66"/>
      <c r="T433" s="66"/>
      <c r="U433" s="66"/>
      <c r="V433" s="66"/>
      <c r="W433" s="66"/>
      <c r="X433" s="66"/>
      <c r="Y433" s="66"/>
      <c r="Z433" s="66"/>
    </row>
    <row r="434" spans="1:26" ht="99.9" hidden="1" customHeight="1" x14ac:dyDescent="0.3">
      <c r="A434" s="66" t="s">
        <v>1988</v>
      </c>
      <c r="B434" s="66"/>
      <c r="C434" s="66">
        <v>8.4</v>
      </c>
      <c r="D434" s="66" t="s">
        <v>1927</v>
      </c>
      <c r="E434" s="66" t="s">
        <v>363</v>
      </c>
      <c r="F434" s="66" t="s">
        <v>1141</v>
      </c>
      <c r="G434" s="66" t="s">
        <v>1090</v>
      </c>
      <c r="H434" s="66" t="s">
        <v>1183</v>
      </c>
      <c r="I434" s="66" t="s">
        <v>1254</v>
      </c>
      <c r="J434" s="66"/>
      <c r="K434" s="66">
        <v>4</v>
      </c>
      <c r="L434" s="66">
        <v>8</v>
      </c>
      <c r="M434" s="66" t="s">
        <v>1093</v>
      </c>
      <c r="N434" s="66">
        <v>100</v>
      </c>
      <c r="O434" s="66" t="s">
        <v>1989</v>
      </c>
      <c r="P434" s="66"/>
      <c r="Q434" s="66"/>
      <c r="R434" s="66" t="s">
        <v>1256</v>
      </c>
      <c r="S434" s="66"/>
      <c r="T434" s="66"/>
      <c r="U434" s="66"/>
      <c r="V434" s="66"/>
      <c r="W434" s="66"/>
      <c r="X434" s="66"/>
      <c r="Y434" s="66"/>
      <c r="Z434" s="66"/>
    </row>
    <row r="435" spans="1:26" ht="99.9" hidden="1" customHeight="1" x14ac:dyDescent="0.3">
      <c r="A435" s="66" t="s">
        <v>1990</v>
      </c>
      <c r="B435" s="66" t="s">
        <v>117</v>
      </c>
      <c r="C435" s="66">
        <v>8.4</v>
      </c>
      <c r="D435" s="66" t="s">
        <v>1927</v>
      </c>
      <c r="E435" s="66" t="s">
        <v>353</v>
      </c>
      <c r="F435" s="66" t="s">
        <v>1267</v>
      </c>
      <c r="G435" s="66" t="s">
        <v>1991</v>
      </c>
      <c r="H435" s="66" t="s">
        <v>1268</v>
      </c>
      <c r="I435" s="66" t="s">
        <v>1992</v>
      </c>
      <c r="J435" s="66" t="s">
        <v>1270</v>
      </c>
      <c r="K435" s="66">
        <v>16</v>
      </c>
      <c r="L435" s="66">
        <v>24</v>
      </c>
      <c r="M435" s="66" t="s">
        <v>1081</v>
      </c>
      <c r="N435" s="66">
        <v>400</v>
      </c>
      <c r="O435" s="66" t="s">
        <v>1993</v>
      </c>
      <c r="P435" s="66"/>
      <c r="Q435" s="66"/>
      <c r="R435" s="66"/>
      <c r="S435" s="66"/>
      <c r="T435" s="66"/>
      <c r="U435" s="66" t="s">
        <v>1689</v>
      </c>
      <c r="V435" s="66"/>
      <c r="W435" s="66"/>
      <c r="X435" s="66"/>
      <c r="Y435" s="66"/>
      <c r="Z435" s="66"/>
    </row>
    <row r="436" spans="1:26" ht="99.9" hidden="1" customHeight="1" x14ac:dyDescent="0.3">
      <c r="A436" s="66" t="s">
        <v>1994</v>
      </c>
      <c r="B436" s="66" t="s">
        <v>117</v>
      </c>
      <c r="C436" s="66">
        <v>8.4</v>
      </c>
      <c r="D436" s="66" t="s">
        <v>1927</v>
      </c>
      <c r="E436" s="66" t="s">
        <v>353</v>
      </c>
      <c r="F436" s="66" t="s">
        <v>1267</v>
      </c>
      <c r="G436" s="66" t="s">
        <v>1991</v>
      </c>
      <c r="H436" s="66" t="s">
        <v>1268</v>
      </c>
      <c r="I436" s="66" t="s">
        <v>1995</v>
      </c>
      <c r="J436" s="66" t="s">
        <v>1270</v>
      </c>
      <c r="K436" s="66">
        <v>16</v>
      </c>
      <c r="L436" s="66">
        <v>24</v>
      </c>
      <c r="M436" s="66" t="s">
        <v>1081</v>
      </c>
      <c r="N436" s="66">
        <v>400</v>
      </c>
      <c r="O436" s="66" t="s">
        <v>1996</v>
      </c>
      <c r="P436" s="66"/>
      <c r="Q436" s="66"/>
      <c r="R436" s="66"/>
      <c r="S436" s="66"/>
      <c r="T436" s="66"/>
      <c r="U436" s="66" t="s">
        <v>1689</v>
      </c>
      <c r="V436" s="66"/>
      <c r="W436" s="66"/>
      <c r="X436" s="66"/>
      <c r="Y436" s="66"/>
      <c r="Z436" s="66"/>
    </row>
    <row r="437" spans="1:26" ht="99.9" hidden="1" customHeight="1" x14ac:dyDescent="0.3">
      <c r="A437" s="66" t="s">
        <v>1997</v>
      </c>
      <c r="B437" s="66" t="s">
        <v>117</v>
      </c>
      <c r="C437" s="66">
        <v>8.4</v>
      </c>
      <c r="D437" s="66" t="s">
        <v>1927</v>
      </c>
      <c r="E437" s="66" t="s">
        <v>353</v>
      </c>
      <c r="F437" s="66" t="s">
        <v>1267</v>
      </c>
      <c r="G437" s="66" t="s">
        <v>1991</v>
      </c>
      <c r="H437" s="66" t="s">
        <v>1268</v>
      </c>
      <c r="I437" s="66" t="s">
        <v>1998</v>
      </c>
      <c r="J437" s="66" t="s">
        <v>1270</v>
      </c>
      <c r="K437" s="66">
        <v>16</v>
      </c>
      <c r="L437" s="66">
        <v>24</v>
      </c>
      <c r="M437" s="66" t="s">
        <v>1081</v>
      </c>
      <c r="N437" s="66">
        <v>100</v>
      </c>
      <c r="O437" s="66" t="s">
        <v>1999</v>
      </c>
      <c r="P437" s="66"/>
      <c r="Q437" s="66"/>
      <c r="R437" s="66"/>
      <c r="S437" s="66"/>
      <c r="T437" s="66"/>
      <c r="U437" s="66" t="s">
        <v>1689</v>
      </c>
      <c r="V437" s="66"/>
      <c r="W437" s="66"/>
      <c r="X437" s="66"/>
      <c r="Y437" s="66"/>
      <c r="Z437" s="66"/>
    </row>
    <row r="438" spans="1:26" ht="99.9" hidden="1" customHeight="1" x14ac:dyDescent="0.3">
      <c r="A438" s="66" t="s">
        <v>2000</v>
      </c>
      <c r="B438" s="66" t="s">
        <v>117</v>
      </c>
      <c r="C438" s="66">
        <v>8.4</v>
      </c>
      <c r="D438" s="66" t="s">
        <v>1927</v>
      </c>
      <c r="E438" s="66" t="s">
        <v>353</v>
      </c>
      <c r="F438" s="66" t="s">
        <v>1287</v>
      </c>
      <c r="G438" s="66" t="s">
        <v>1870</v>
      </c>
      <c r="H438" s="66" t="s">
        <v>1268</v>
      </c>
      <c r="I438" s="66" t="s">
        <v>2001</v>
      </c>
      <c r="J438" s="66" t="s">
        <v>1289</v>
      </c>
      <c r="K438" s="66">
        <v>8</v>
      </c>
      <c r="L438" s="66">
        <v>12</v>
      </c>
      <c r="M438" s="66" t="s">
        <v>1093</v>
      </c>
      <c r="N438" s="66">
        <v>100</v>
      </c>
      <c r="O438" s="66" t="s">
        <v>2002</v>
      </c>
      <c r="P438" s="66"/>
      <c r="Q438" s="66"/>
      <c r="R438" s="66"/>
      <c r="S438" s="66"/>
      <c r="T438" s="66"/>
      <c r="U438" s="66" t="s">
        <v>1711</v>
      </c>
      <c r="V438" s="66"/>
      <c r="W438" s="66"/>
      <c r="X438" s="66"/>
      <c r="Y438" s="66"/>
      <c r="Z438" s="66"/>
    </row>
  </sheetData>
  <autoFilter ref="A1:Z438" xr:uid="{00000000-0009-0000-0000-000007000000}">
    <filterColumn colId="2">
      <filters>
        <filter val="4.10"/>
      </filters>
    </filterColumn>
  </autoFilter>
  <phoneticPr fontId="9" type="noConversion"/>
  <pageMargins left="0.70866141732283472" right="0.70866141732283472" top="0.74803149606299213" bottom="0.74803149606299213" header="0.31496062992125984" footer="0.31496062992125984"/>
  <pageSetup paperSize="9" scale="44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09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16" sqref="D16"/>
    </sheetView>
  </sheetViews>
  <sheetFormatPr defaultColWidth="9" defaultRowHeight="16.2" x14ac:dyDescent="0.3"/>
  <cols>
    <col min="1" max="2" width="15.6640625" style="22" customWidth="1"/>
    <col min="3" max="3" width="13.88671875" style="22" customWidth="1"/>
    <col min="4" max="4" width="22.109375" style="22" customWidth="1"/>
    <col min="5" max="5" width="9" style="22"/>
    <col min="6" max="6" width="11.109375" style="22" customWidth="1"/>
    <col min="7" max="7" width="9" style="22"/>
    <col min="8" max="8" width="10.33203125" style="22" customWidth="1"/>
    <col min="9" max="9" width="12.6640625" style="22" customWidth="1"/>
    <col min="10" max="10" width="9" style="22"/>
    <col min="11" max="11" width="9.6640625" style="22" customWidth="1"/>
    <col min="12" max="17" width="9" style="22"/>
    <col min="18" max="18" width="9.33203125" style="22" customWidth="1"/>
    <col min="19" max="20" width="9" style="22"/>
    <col min="21" max="22" width="13.6640625" style="22" customWidth="1"/>
    <col min="23" max="23" width="11.109375" style="2" customWidth="1"/>
    <col min="24" max="24" width="9.6640625" style="22" customWidth="1"/>
    <col min="25" max="25" width="18.6640625" style="34" customWidth="1"/>
    <col min="26" max="16384" width="9" style="22"/>
  </cols>
  <sheetData>
    <row r="1" spans="1:25" x14ac:dyDescent="0.3">
      <c r="A1" s="182" t="s">
        <v>2003</v>
      </c>
      <c r="B1" s="182"/>
      <c r="C1" s="183"/>
      <c r="D1" s="183"/>
      <c r="E1" s="183"/>
      <c r="F1" s="183"/>
      <c r="G1" s="183"/>
      <c r="H1" s="24"/>
      <c r="I1" s="184" t="s">
        <v>2004</v>
      </c>
      <c r="J1" s="185"/>
      <c r="K1" s="185"/>
      <c r="L1" s="185"/>
      <c r="M1" s="185"/>
      <c r="N1" s="185"/>
      <c r="O1" s="185"/>
      <c r="P1" s="185"/>
      <c r="Q1" s="185"/>
      <c r="R1" s="38"/>
      <c r="S1" s="19" t="s">
        <v>2005</v>
      </c>
      <c r="T1" s="7" t="s">
        <v>2006</v>
      </c>
      <c r="U1" s="8"/>
      <c r="V1" s="8"/>
      <c r="W1" s="12"/>
      <c r="X1" s="8"/>
      <c r="Y1" s="17"/>
    </row>
    <row r="2" spans="1:25" ht="60" x14ac:dyDescent="0.3">
      <c r="A2" s="19" t="s">
        <v>2007</v>
      </c>
      <c r="B2" s="19" t="s">
        <v>2008</v>
      </c>
      <c r="C2" s="19" t="s">
        <v>2009</v>
      </c>
      <c r="D2" s="19" t="s">
        <v>2010</v>
      </c>
      <c r="E2" s="19" t="s">
        <v>2011</v>
      </c>
      <c r="F2" s="19" t="s">
        <v>2012</v>
      </c>
      <c r="G2" s="19" t="s">
        <v>2013</v>
      </c>
      <c r="H2" s="19" t="s">
        <v>2014</v>
      </c>
      <c r="I2" s="19" t="s">
        <v>2015</v>
      </c>
      <c r="J2" s="7" t="s">
        <v>2016</v>
      </c>
      <c r="K2" s="7" t="s">
        <v>2017</v>
      </c>
      <c r="L2" s="7" t="s">
        <v>2018</v>
      </c>
      <c r="M2" s="7" t="s">
        <v>332</v>
      </c>
      <c r="N2" s="7" t="s">
        <v>333</v>
      </c>
      <c r="O2" s="7" t="s">
        <v>2019</v>
      </c>
      <c r="P2" s="7" t="s">
        <v>339</v>
      </c>
      <c r="Q2" s="7" t="s">
        <v>340</v>
      </c>
      <c r="R2" s="7" t="s">
        <v>2020</v>
      </c>
      <c r="S2" s="5"/>
      <c r="T2" s="7"/>
      <c r="U2" s="8" t="s">
        <v>2021</v>
      </c>
      <c r="V2" s="8" t="s">
        <v>2022</v>
      </c>
      <c r="W2" s="8" t="s">
        <v>2023</v>
      </c>
      <c r="X2" s="8" t="s">
        <v>344</v>
      </c>
      <c r="Y2" s="17" t="s">
        <v>2024</v>
      </c>
    </row>
    <row r="3" spans="1:25" x14ac:dyDescent="0.3">
      <c r="A3" s="186" t="s">
        <v>2025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8"/>
    </row>
    <row r="4" spans="1:25" ht="17.25" customHeight="1" x14ac:dyDescent="0.3">
      <c r="A4" s="170" t="s">
        <v>2026</v>
      </c>
      <c r="B4" s="170" t="s">
        <v>2027</v>
      </c>
      <c r="C4" s="170" t="s">
        <v>2028</v>
      </c>
      <c r="D4" s="20" t="s">
        <v>2029</v>
      </c>
      <c r="E4" s="26"/>
      <c r="F4" s="26"/>
      <c r="G4" s="26"/>
      <c r="H4" s="26"/>
      <c r="I4" s="13"/>
      <c r="J4" s="21"/>
      <c r="K4" s="9" t="s">
        <v>2030</v>
      </c>
      <c r="L4" s="9"/>
      <c r="M4" s="21"/>
      <c r="N4" s="170" t="s">
        <v>2031</v>
      </c>
      <c r="O4" s="21"/>
      <c r="P4" s="21"/>
      <c r="Q4" s="21"/>
      <c r="R4" s="21"/>
      <c r="S4" s="10"/>
      <c r="T4" s="10"/>
      <c r="U4" s="21" t="s">
        <v>2032</v>
      </c>
      <c r="V4" s="21"/>
      <c r="W4" s="14" t="s">
        <v>2033</v>
      </c>
      <c r="X4" s="179" t="s">
        <v>2034</v>
      </c>
      <c r="Y4" s="189" t="s">
        <v>2035</v>
      </c>
    </row>
    <row r="5" spans="1:25" ht="75" x14ac:dyDescent="0.3">
      <c r="A5" s="171"/>
      <c r="B5" s="171"/>
      <c r="C5" s="171"/>
      <c r="D5" s="16" t="s">
        <v>2036</v>
      </c>
      <c r="E5" s="25">
        <v>24</v>
      </c>
      <c r="F5" s="32">
        <f>SUM(P5:P8/E5)</f>
        <v>4.1666666666666664E-2</v>
      </c>
      <c r="G5" s="25">
        <v>96</v>
      </c>
      <c r="H5" s="31">
        <f>SUM(Q5:Q8)/G5</f>
        <v>1.3333333333333333E-3</v>
      </c>
      <c r="I5" s="15" t="s">
        <v>2037</v>
      </c>
      <c r="J5" s="21"/>
      <c r="K5" s="9" t="s">
        <v>2030</v>
      </c>
      <c r="L5" s="9"/>
      <c r="M5" s="21"/>
      <c r="N5" s="171"/>
      <c r="O5" s="21"/>
      <c r="P5" s="15">
        <v>1</v>
      </c>
      <c r="Q5" s="15">
        <v>0.128</v>
      </c>
      <c r="R5" s="15">
        <v>8</v>
      </c>
      <c r="S5" s="10"/>
      <c r="T5" s="9"/>
      <c r="U5" s="21" t="s">
        <v>2038</v>
      </c>
      <c r="V5" s="21"/>
      <c r="W5" s="14"/>
      <c r="X5" s="180"/>
      <c r="Y5" s="190"/>
    </row>
    <row r="6" spans="1:25" x14ac:dyDescent="0.3">
      <c r="A6" s="171"/>
      <c r="B6" s="171"/>
      <c r="C6" s="171"/>
      <c r="D6" s="16" t="s">
        <v>2036</v>
      </c>
      <c r="E6" s="27"/>
      <c r="F6" s="27"/>
      <c r="G6" s="27"/>
      <c r="H6" s="27"/>
      <c r="I6" s="15"/>
      <c r="J6" s="21"/>
      <c r="K6" s="9"/>
      <c r="L6" s="9"/>
      <c r="M6" s="21"/>
      <c r="N6" s="171"/>
      <c r="O6" s="21"/>
      <c r="P6" s="21"/>
      <c r="Q6" s="21"/>
      <c r="R6" s="21"/>
      <c r="S6" s="10"/>
      <c r="T6" s="9"/>
      <c r="U6" s="21" t="s">
        <v>2039</v>
      </c>
      <c r="V6" s="21"/>
      <c r="W6" s="14"/>
      <c r="X6" s="180"/>
      <c r="Y6" s="190"/>
    </row>
    <row r="7" spans="1:25" x14ac:dyDescent="0.3">
      <c r="A7" s="171"/>
      <c r="B7" s="171"/>
      <c r="C7" s="171"/>
      <c r="D7" s="16" t="s">
        <v>2036</v>
      </c>
      <c r="E7" s="27"/>
      <c r="F7" s="27"/>
      <c r="G7" s="27"/>
      <c r="H7" s="27"/>
      <c r="I7" s="15"/>
      <c r="J7" s="21"/>
      <c r="K7" s="9"/>
      <c r="L7" s="9"/>
      <c r="M7" s="21"/>
      <c r="N7" s="171"/>
      <c r="O7" s="21"/>
      <c r="P7" s="21"/>
      <c r="Q7" s="21"/>
      <c r="R7" s="21"/>
      <c r="S7" s="10"/>
      <c r="T7" s="9"/>
      <c r="U7" s="21"/>
      <c r="V7" s="21"/>
      <c r="W7" s="14"/>
      <c r="X7" s="180"/>
      <c r="Y7" s="190"/>
    </row>
    <row r="8" spans="1:25" x14ac:dyDescent="0.3">
      <c r="A8" s="171"/>
      <c r="B8" s="172"/>
      <c r="C8" s="171"/>
      <c r="D8" s="16" t="s">
        <v>2036</v>
      </c>
      <c r="E8" s="28"/>
      <c r="F8" s="28"/>
      <c r="G8" s="28"/>
      <c r="H8" s="28"/>
      <c r="I8" s="15"/>
      <c r="J8" s="21"/>
      <c r="K8" s="9"/>
      <c r="L8" s="9"/>
      <c r="M8" s="21"/>
      <c r="N8" s="171"/>
      <c r="O8" s="21"/>
      <c r="P8" s="21"/>
      <c r="Q8" s="21"/>
      <c r="R8" s="21"/>
      <c r="S8" s="10"/>
      <c r="T8" s="9"/>
      <c r="U8" s="21"/>
      <c r="V8" s="21"/>
      <c r="W8" s="14"/>
      <c r="X8" s="181"/>
      <c r="Y8" s="191"/>
    </row>
    <row r="9" spans="1:25" x14ac:dyDescent="0.3">
      <c r="A9" s="171"/>
      <c r="B9" s="170" t="s">
        <v>2040</v>
      </c>
      <c r="C9" s="171"/>
      <c r="D9" s="20" t="s">
        <v>2041</v>
      </c>
      <c r="E9" s="26"/>
      <c r="F9" s="20"/>
      <c r="G9" s="26"/>
      <c r="H9" s="20"/>
      <c r="I9" s="15"/>
      <c r="J9" s="21"/>
      <c r="K9" s="9" t="s">
        <v>2030</v>
      </c>
      <c r="L9" s="9"/>
      <c r="M9" s="21"/>
      <c r="N9" s="171"/>
      <c r="O9" s="21"/>
      <c r="P9" s="21"/>
      <c r="Q9" s="21"/>
      <c r="R9" s="21"/>
      <c r="S9" s="10"/>
      <c r="T9" s="9"/>
      <c r="U9" s="21" t="s">
        <v>2042</v>
      </c>
      <c r="V9" s="21"/>
      <c r="W9" s="14" t="s">
        <v>2033</v>
      </c>
      <c r="X9" s="179" t="s">
        <v>2043</v>
      </c>
      <c r="Y9" s="189" t="s">
        <v>2044</v>
      </c>
    </row>
    <row r="10" spans="1:25" x14ac:dyDescent="0.3">
      <c r="A10" s="171"/>
      <c r="B10" s="171"/>
      <c r="C10" s="171"/>
      <c r="D10" s="16" t="s">
        <v>2036</v>
      </c>
      <c r="E10" s="27"/>
      <c r="F10" s="25"/>
      <c r="G10" s="27"/>
      <c r="H10" s="25"/>
      <c r="I10" s="15"/>
      <c r="J10" s="21"/>
      <c r="K10" s="9"/>
      <c r="L10" s="9"/>
      <c r="M10" s="21"/>
      <c r="N10" s="171"/>
      <c r="O10" s="21"/>
      <c r="P10" s="21"/>
      <c r="Q10" s="21"/>
      <c r="R10" s="21"/>
      <c r="S10" s="10"/>
      <c r="T10" s="9"/>
      <c r="U10" s="21"/>
      <c r="V10" s="21"/>
      <c r="W10" s="14"/>
      <c r="X10" s="180"/>
      <c r="Y10" s="190"/>
    </row>
    <row r="11" spans="1:25" x14ac:dyDescent="0.3">
      <c r="A11" s="171"/>
      <c r="B11" s="171"/>
      <c r="C11" s="171"/>
      <c r="D11" s="16" t="s">
        <v>2036</v>
      </c>
      <c r="E11" s="25">
        <v>24</v>
      </c>
      <c r="F11" s="31">
        <f>SUM(P10:P13)/E11</f>
        <v>0</v>
      </c>
      <c r="G11" s="25">
        <v>96</v>
      </c>
      <c r="H11" s="31">
        <f>SUM(Q10:Q13)/G11</f>
        <v>0</v>
      </c>
      <c r="I11" s="15"/>
      <c r="J11" s="21"/>
      <c r="K11" s="9"/>
      <c r="L11" s="9"/>
      <c r="M11" s="21"/>
      <c r="N11" s="171"/>
      <c r="O11" s="21"/>
      <c r="P11" s="21"/>
      <c r="Q11" s="21"/>
      <c r="R11" s="21"/>
      <c r="S11" s="10"/>
      <c r="T11" s="9"/>
      <c r="U11" s="21"/>
      <c r="V11" s="21"/>
      <c r="W11" s="14"/>
      <c r="X11" s="180"/>
      <c r="Y11" s="190"/>
    </row>
    <row r="12" spans="1:25" x14ac:dyDescent="0.3">
      <c r="A12" s="171"/>
      <c r="B12" s="171"/>
      <c r="C12" s="171"/>
      <c r="D12" s="16" t="s">
        <v>2036</v>
      </c>
      <c r="E12" s="27"/>
      <c r="F12" s="25"/>
      <c r="G12" s="27"/>
      <c r="H12" s="25"/>
      <c r="I12" s="15"/>
      <c r="J12" s="21"/>
      <c r="K12" s="9"/>
      <c r="L12" s="9"/>
      <c r="M12" s="21"/>
      <c r="N12" s="171"/>
      <c r="O12" s="21"/>
      <c r="P12" s="21"/>
      <c r="Q12" s="21"/>
      <c r="R12" s="21"/>
      <c r="S12" s="10"/>
      <c r="T12" s="9"/>
      <c r="U12" s="21"/>
      <c r="V12" s="21"/>
      <c r="W12" s="14"/>
      <c r="X12" s="180"/>
      <c r="Y12" s="190"/>
    </row>
    <row r="13" spans="1:25" x14ac:dyDescent="0.3">
      <c r="A13" s="171"/>
      <c r="B13" s="172"/>
      <c r="C13" s="171"/>
      <c r="D13" s="16" t="s">
        <v>2036</v>
      </c>
      <c r="E13" s="28"/>
      <c r="F13" s="23"/>
      <c r="G13" s="28"/>
      <c r="H13" s="23"/>
      <c r="I13" s="15"/>
      <c r="J13" s="21"/>
      <c r="K13" s="9"/>
      <c r="L13" s="9"/>
      <c r="M13" s="21"/>
      <c r="N13" s="171"/>
      <c r="O13" s="21"/>
      <c r="P13" s="21"/>
      <c r="Q13" s="21"/>
      <c r="R13" s="21"/>
      <c r="S13" s="10"/>
      <c r="T13" s="9"/>
      <c r="U13" s="21"/>
      <c r="V13" s="21"/>
      <c r="W13" s="14"/>
      <c r="X13" s="181"/>
      <c r="Y13" s="191"/>
    </row>
    <row r="14" spans="1:25" x14ac:dyDescent="0.3">
      <c r="A14" s="171"/>
      <c r="B14" s="170" t="s">
        <v>2045</v>
      </c>
      <c r="C14" s="171"/>
      <c r="D14" s="20" t="s">
        <v>2041</v>
      </c>
      <c r="E14" s="20"/>
      <c r="F14" s="20"/>
      <c r="G14" s="20"/>
      <c r="H14" s="20"/>
      <c r="I14" s="15"/>
      <c r="J14" s="21"/>
      <c r="K14" s="9" t="s">
        <v>2030</v>
      </c>
      <c r="L14" s="9"/>
      <c r="M14" s="21"/>
      <c r="N14" s="171"/>
      <c r="O14" s="21"/>
      <c r="P14" s="21"/>
      <c r="Q14" s="21"/>
      <c r="R14" s="21"/>
      <c r="S14" s="10"/>
      <c r="T14" s="9"/>
      <c r="U14" s="21" t="s">
        <v>2046</v>
      </c>
      <c r="V14" s="21"/>
      <c r="W14" s="14" t="s">
        <v>2033</v>
      </c>
      <c r="X14" s="179" t="s">
        <v>2047</v>
      </c>
      <c r="Y14" s="189" t="s">
        <v>2048</v>
      </c>
    </row>
    <row r="15" spans="1:25" x14ac:dyDescent="0.3">
      <c r="A15" s="171"/>
      <c r="B15" s="171"/>
      <c r="C15" s="171"/>
      <c r="D15" s="16" t="s">
        <v>2036</v>
      </c>
      <c r="E15" s="25"/>
      <c r="F15" s="25"/>
      <c r="G15" s="25"/>
      <c r="H15" s="25"/>
      <c r="I15" s="15"/>
      <c r="J15" s="21"/>
      <c r="K15" s="9"/>
      <c r="L15" s="9"/>
      <c r="M15" s="21"/>
      <c r="N15" s="171"/>
      <c r="O15" s="21"/>
      <c r="P15" s="21"/>
      <c r="Q15" s="21"/>
      <c r="R15" s="21"/>
      <c r="S15" s="10"/>
      <c r="T15" s="9"/>
      <c r="U15" s="21"/>
      <c r="V15" s="21"/>
      <c r="W15" s="14"/>
      <c r="X15" s="180"/>
      <c r="Y15" s="190"/>
    </row>
    <row r="16" spans="1:25" x14ac:dyDescent="0.3">
      <c r="A16" s="171"/>
      <c r="B16" s="171"/>
      <c r="C16" s="171"/>
      <c r="D16" s="16" t="s">
        <v>2036</v>
      </c>
      <c r="E16" s="25">
        <v>24</v>
      </c>
      <c r="F16" s="31">
        <f>SUM(P15:P18)/E16</f>
        <v>0</v>
      </c>
      <c r="G16" s="25">
        <v>96</v>
      </c>
      <c r="H16" s="31">
        <f>SUM(Q15:Q18)/G16</f>
        <v>0</v>
      </c>
      <c r="I16" s="15"/>
      <c r="J16" s="21"/>
      <c r="K16" s="9"/>
      <c r="L16" s="9"/>
      <c r="M16" s="21"/>
      <c r="N16" s="171"/>
      <c r="O16" s="21"/>
      <c r="P16" s="21"/>
      <c r="Q16" s="21"/>
      <c r="R16" s="21"/>
      <c r="S16" s="10"/>
      <c r="T16" s="9"/>
      <c r="U16" s="21"/>
      <c r="V16" s="21"/>
      <c r="W16" s="14"/>
      <c r="X16" s="180"/>
      <c r="Y16" s="190"/>
    </row>
    <row r="17" spans="1:25" x14ac:dyDescent="0.3">
      <c r="A17" s="171"/>
      <c r="B17" s="171"/>
      <c r="C17" s="171"/>
      <c r="D17" s="16" t="s">
        <v>2036</v>
      </c>
      <c r="E17" s="25"/>
      <c r="F17" s="25"/>
      <c r="G17" s="25"/>
      <c r="H17" s="25"/>
      <c r="I17" s="15"/>
      <c r="J17" s="21"/>
      <c r="K17" s="9"/>
      <c r="L17" s="9"/>
      <c r="M17" s="21"/>
      <c r="N17" s="171"/>
      <c r="O17" s="21"/>
      <c r="P17" s="21"/>
      <c r="Q17" s="21"/>
      <c r="R17" s="21"/>
      <c r="S17" s="10"/>
      <c r="T17" s="9"/>
      <c r="U17" s="21"/>
      <c r="V17" s="21"/>
      <c r="W17" s="14"/>
      <c r="X17" s="180"/>
      <c r="Y17" s="190"/>
    </row>
    <row r="18" spans="1:25" x14ac:dyDescent="0.3">
      <c r="A18" s="171"/>
      <c r="B18" s="172"/>
      <c r="C18" s="171"/>
      <c r="D18" s="16" t="s">
        <v>2036</v>
      </c>
      <c r="E18" s="23"/>
      <c r="F18" s="23"/>
      <c r="G18" s="23"/>
      <c r="H18" s="23"/>
      <c r="I18" s="15"/>
      <c r="J18" s="21"/>
      <c r="K18" s="9"/>
      <c r="L18" s="9"/>
      <c r="M18" s="21"/>
      <c r="N18" s="171"/>
      <c r="O18" s="21"/>
      <c r="P18" s="21"/>
      <c r="Q18" s="21"/>
      <c r="R18" s="21"/>
      <c r="S18" s="10"/>
      <c r="T18" s="9"/>
      <c r="U18" s="21"/>
      <c r="V18" s="21"/>
      <c r="W18" s="14"/>
      <c r="X18" s="181"/>
      <c r="Y18" s="191"/>
    </row>
    <row r="19" spans="1:25" ht="16.5" customHeight="1" x14ac:dyDescent="0.3">
      <c r="A19" s="171"/>
      <c r="B19" s="170" t="s">
        <v>2049</v>
      </c>
      <c r="C19" s="171"/>
      <c r="D19" s="20" t="s">
        <v>2041</v>
      </c>
      <c r="E19" s="20"/>
      <c r="F19" s="20"/>
      <c r="G19" s="20"/>
      <c r="H19" s="20"/>
      <c r="I19" s="15"/>
      <c r="J19" s="21"/>
      <c r="K19" s="9" t="s">
        <v>2030</v>
      </c>
      <c r="L19" s="9"/>
      <c r="M19" s="21"/>
      <c r="N19" s="171"/>
      <c r="O19" s="21"/>
      <c r="P19" s="21"/>
      <c r="Q19" s="21"/>
      <c r="R19" s="21"/>
      <c r="S19" s="10"/>
      <c r="T19" s="9"/>
      <c r="U19" s="21" t="s">
        <v>2050</v>
      </c>
      <c r="V19" s="21"/>
      <c r="W19" s="14" t="s">
        <v>2033</v>
      </c>
      <c r="X19" s="179" t="s">
        <v>2051</v>
      </c>
      <c r="Y19" s="189" t="s">
        <v>2052</v>
      </c>
    </row>
    <row r="20" spans="1:25" x14ac:dyDescent="0.3">
      <c r="A20" s="171"/>
      <c r="B20" s="171"/>
      <c r="C20" s="171"/>
      <c r="D20" s="16" t="s">
        <v>2036</v>
      </c>
      <c r="E20" s="25"/>
      <c r="F20" s="25"/>
      <c r="G20" s="25"/>
      <c r="H20" s="25"/>
      <c r="I20" s="30" t="s">
        <v>2053</v>
      </c>
      <c r="J20" s="21"/>
      <c r="K20" s="9" t="s">
        <v>2030</v>
      </c>
      <c r="L20" s="9"/>
      <c r="M20" s="21"/>
      <c r="N20" s="171"/>
      <c r="O20" s="21"/>
      <c r="P20" s="15">
        <v>2</v>
      </c>
      <c r="Q20" s="15">
        <v>2</v>
      </c>
      <c r="R20" s="15">
        <v>40</v>
      </c>
      <c r="S20" s="10"/>
      <c r="T20" s="9"/>
      <c r="U20" s="21" t="s">
        <v>2054</v>
      </c>
      <c r="V20" s="21"/>
      <c r="W20" s="14"/>
      <c r="X20" s="180"/>
      <c r="Y20" s="190"/>
    </row>
    <row r="21" spans="1:25" x14ac:dyDescent="0.3">
      <c r="A21" s="171"/>
      <c r="B21" s="171"/>
      <c r="C21" s="171"/>
      <c r="D21" s="16" t="s">
        <v>2036</v>
      </c>
      <c r="E21" s="25">
        <v>24</v>
      </c>
      <c r="F21" s="31">
        <f>SUM(P20:P23)/E21</f>
        <v>8.3333333333333329E-2</v>
      </c>
      <c r="G21" s="25">
        <v>96</v>
      </c>
      <c r="H21" s="31">
        <f>SUM(Q20:Q23)/G21</f>
        <v>2.0833333333333332E-2</v>
      </c>
      <c r="I21" s="15"/>
      <c r="J21" s="21"/>
      <c r="K21" s="9"/>
      <c r="L21" s="9"/>
      <c r="M21" s="21"/>
      <c r="N21" s="171"/>
      <c r="O21" s="21"/>
      <c r="P21" s="21"/>
      <c r="Q21" s="21"/>
      <c r="R21" s="21"/>
      <c r="S21" s="10"/>
      <c r="T21" s="9"/>
      <c r="U21" s="21"/>
      <c r="V21" s="21"/>
      <c r="W21" s="14"/>
      <c r="X21" s="180"/>
      <c r="Y21" s="190"/>
    </row>
    <row r="22" spans="1:25" x14ac:dyDescent="0.3">
      <c r="A22" s="171"/>
      <c r="B22" s="171"/>
      <c r="C22" s="171"/>
      <c r="D22" s="16" t="s">
        <v>2036</v>
      </c>
      <c r="E22" s="25"/>
      <c r="F22" s="25"/>
      <c r="G22" s="25"/>
      <c r="H22" s="25"/>
      <c r="I22" s="15"/>
      <c r="J22" s="21"/>
      <c r="K22" s="9"/>
      <c r="L22" s="9"/>
      <c r="M22" s="21"/>
      <c r="N22" s="171"/>
      <c r="O22" s="21"/>
      <c r="P22" s="21"/>
      <c r="Q22" s="21"/>
      <c r="R22" s="21"/>
      <c r="S22" s="10"/>
      <c r="T22" s="9"/>
      <c r="U22" s="21"/>
      <c r="V22" s="21"/>
      <c r="W22" s="14"/>
      <c r="X22" s="180"/>
      <c r="Y22" s="190"/>
    </row>
    <row r="23" spans="1:25" x14ac:dyDescent="0.3">
      <c r="A23" s="171"/>
      <c r="B23" s="172"/>
      <c r="C23" s="171"/>
      <c r="D23" s="16" t="s">
        <v>2036</v>
      </c>
      <c r="E23" s="23"/>
      <c r="F23" s="23"/>
      <c r="G23" s="23"/>
      <c r="H23" s="23"/>
      <c r="I23" s="15"/>
      <c r="J23" s="21"/>
      <c r="K23" s="9"/>
      <c r="L23" s="9"/>
      <c r="M23" s="21"/>
      <c r="N23" s="171"/>
      <c r="O23" s="21"/>
      <c r="P23" s="21"/>
      <c r="Q23" s="21"/>
      <c r="R23" s="21"/>
      <c r="S23" s="10"/>
      <c r="T23" s="9"/>
      <c r="U23" s="21"/>
      <c r="V23" s="21"/>
      <c r="W23" s="14"/>
      <c r="X23" s="181"/>
      <c r="Y23" s="191"/>
    </row>
    <row r="24" spans="1:25" x14ac:dyDescent="0.3">
      <c r="A24" s="171"/>
      <c r="B24" s="170" t="s">
        <v>2055</v>
      </c>
      <c r="C24" s="171"/>
      <c r="D24" s="20" t="s">
        <v>2041</v>
      </c>
      <c r="E24" s="26"/>
      <c r="F24" s="20"/>
      <c r="G24" s="20"/>
      <c r="H24" s="20"/>
      <c r="I24" s="15"/>
      <c r="J24" s="21"/>
      <c r="K24" s="9" t="s">
        <v>2030</v>
      </c>
      <c r="L24" s="9"/>
      <c r="M24" s="21"/>
      <c r="N24" s="171"/>
      <c r="O24" s="21"/>
      <c r="P24" s="21"/>
      <c r="Q24" s="21"/>
      <c r="R24" s="21"/>
      <c r="S24" s="10"/>
      <c r="T24" s="9"/>
      <c r="U24" s="21" t="s">
        <v>2056</v>
      </c>
      <c r="V24" s="21"/>
      <c r="W24" s="14" t="s">
        <v>2033</v>
      </c>
      <c r="X24" s="173" t="s">
        <v>2057</v>
      </c>
      <c r="Y24" s="192" t="s">
        <v>2058</v>
      </c>
    </row>
    <row r="25" spans="1:25" x14ac:dyDescent="0.3">
      <c r="A25" s="171"/>
      <c r="B25" s="171"/>
      <c r="C25" s="171"/>
      <c r="D25" s="16" t="s">
        <v>2036</v>
      </c>
      <c r="E25" s="27"/>
      <c r="F25" s="25"/>
      <c r="G25" s="25"/>
      <c r="H25" s="25"/>
      <c r="I25" s="15"/>
      <c r="J25" s="21"/>
      <c r="K25" s="9"/>
      <c r="L25" s="9"/>
      <c r="M25" s="21"/>
      <c r="N25" s="171"/>
      <c r="O25" s="21"/>
      <c r="P25" s="21"/>
      <c r="Q25" s="21"/>
      <c r="R25" s="21"/>
      <c r="S25" s="10"/>
      <c r="T25" s="9"/>
      <c r="U25" s="21"/>
      <c r="V25" s="21"/>
      <c r="W25" s="14"/>
      <c r="X25" s="174"/>
      <c r="Y25" s="193"/>
    </row>
    <row r="26" spans="1:25" x14ac:dyDescent="0.3">
      <c r="A26" s="171"/>
      <c r="B26" s="171"/>
      <c r="C26" s="171"/>
      <c r="D26" s="16" t="s">
        <v>2036</v>
      </c>
      <c r="E26" s="25">
        <v>24</v>
      </c>
      <c r="F26" s="31">
        <f>SUM(P25:P28)/E26</f>
        <v>0</v>
      </c>
      <c r="G26" s="25">
        <v>96</v>
      </c>
      <c r="H26" s="31">
        <f>SUM(Q25:Q28)/G26</f>
        <v>0</v>
      </c>
      <c r="I26" s="15"/>
      <c r="J26" s="21"/>
      <c r="K26" s="9"/>
      <c r="L26" s="9"/>
      <c r="M26" s="21"/>
      <c r="N26" s="171"/>
      <c r="O26" s="21"/>
      <c r="P26" s="21"/>
      <c r="Q26" s="21"/>
      <c r="R26" s="21"/>
      <c r="S26" s="10"/>
      <c r="T26" s="9"/>
      <c r="U26" s="21"/>
      <c r="V26" s="21"/>
      <c r="W26" s="14"/>
      <c r="X26" s="174"/>
      <c r="Y26" s="193"/>
    </row>
    <row r="27" spans="1:25" x14ac:dyDescent="0.3">
      <c r="A27" s="171"/>
      <c r="B27" s="171"/>
      <c r="C27" s="171"/>
      <c r="D27" s="16" t="s">
        <v>2036</v>
      </c>
      <c r="E27" s="27"/>
      <c r="F27" s="25"/>
      <c r="G27" s="25"/>
      <c r="H27" s="25"/>
      <c r="I27" s="15"/>
      <c r="J27" s="21"/>
      <c r="K27" s="9"/>
      <c r="L27" s="9"/>
      <c r="M27" s="21"/>
      <c r="N27" s="171"/>
      <c r="O27" s="21"/>
      <c r="P27" s="21"/>
      <c r="Q27" s="21"/>
      <c r="R27" s="21"/>
      <c r="S27" s="10"/>
      <c r="T27" s="9"/>
      <c r="U27" s="21"/>
      <c r="V27" s="21"/>
      <c r="W27" s="14"/>
      <c r="X27" s="174"/>
      <c r="Y27" s="193"/>
    </row>
    <row r="28" spans="1:25" x14ac:dyDescent="0.3">
      <c r="A28" s="172"/>
      <c r="B28" s="172"/>
      <c r="C28" s="172"/>
      <c r="D28" s="16" t="s">
        <v>2036</v>
      </c>
      <c r="E28" s="28"/>
      <c r="F28" s="23"/>
      <c r="G28" s="23"/>
      <c r="H28" s="23"/>
      <c r="I28" s="15"/>
      <c r="J28" s="21"/>
      <c r="K28" s="9"/>
      <c r="L28" s="9"/>
      <c r="M28" s="21"/>
      <c r="N28" s="172"/>
      <c r="O28" s="21"/>
      <c r="P28" s="21"/>
      <c r="Q28" s="21"/>
      <c r="R28" s="21"/>
      <c r="S28" s="10"/>
      <c r="T28" s="9"/>
      <c r="U28" s="21"/>
      <c r="V28" s="21"/>
      <c r="W28" s="14"/>
      <c r="X28" s="175"/>
      <c r="Y28" s="194"/>
    </row>
    <row r="29" spans="1:25" x14ac:dyDescent="0.3">
      <c r="A29" s="170" t="s">
        <v>2026</v>
      </c>
      <c r="B29" s="170" t="s">
        <v>2059</v>
      </c>
      <c r="C29" s="170" t="s">
        <v>2060</v>
      </c>
      <c r="D29" s="20" t="s">
        <v>2029</v>
      </c>
      <c r="E29" s="26"/>
      <c r="F29" s="20"/>
      <c r="G29" s="26"/>
      <c r="H29" s="20"/>
      <c r="I29" s="15"/>
      <c r="J29" s="21"/>
      <c r="K29" s="9" t="s">
        <v>2030</v>
      </c>
      <c r="L29" s="9"/>
      <c r="M29" s="21"/>
      <c r="N29" s="170" t="s">
        <v>2061</v>
      </c>
      <c r="O29" s="21"/>
      <c r="P29" s="21"/>
      <c r="Q29" s="21"/>
      <c r="R29" s="21"/>
      <c r="S29" s="10"/>
      <c r="T29" s="9"/>
      <c r="U29" s="21"/>
      <c r="V29" s="21"/>
      <c r="W29" s="14" t="s">
        <v>2062</v>
      </c>
      <c r="X29" s="173" t="s">
        <v>2063</v>
      </c>
      <c r="Y29" s="192" t="s">
        <v>2064</v>
      </c>
    </row>
    <row r="30" spans="1:25" x14ac:dyDescent="0.3">
      <c r="A30" s="171"/>
      <c r="B30" s="171"/>
      <c r="C30" s="171"/>
      <c r="D30" s="16" t="s">
        <v>2036</v>
      </c>
      <c r="E30" s="27"/>
      <c r="F30" s="25"/>
      <c r="G30" s="27"/>
      <c r="H30" s="25"/>
      <c r="I30" s="30" t="s">
        <v>2060</v>
      </c>
      <c r="J30" s="21"/>
      <c r="K30" s="9" t="s">
        <v>2030</v>
      </c>
      <c r="L30" s="9"/>
      <c r="M30" s="21"/>
      <c r="N30" s="171"/>
      <c r="O30" s="21"/>
      <c r="P30" s="15">
        <v>8</v>
      </c>
      <c r="Q30" s="15">
        <v>48</v>
      </c>
      <c r="R30" s="15">
        <v>40</v>
      </c>
      <c r="S30" s="10"/>
      <c r="T30" s="9"/>
      <c r="U30" s="21" t="s">
        <v>2065</v>
      </c>
      <c r="V30" s="21" t="s">
        <v>2066</v>
      </c>
      <c r="W30" s="14"/>
      <c r="X30" s="174"/>
      <c r="Y30" s="193"/>
    </row>
    <row r="31" spans="1:25" x14ac:dyDescent="0.3">
      <c r="A31" s="171"/>
      <c r="B31" s="171"/>
      <c r="C31" s="171"/>
      <c r="D31" s="16" t="s">
        <v>2036</v>
      </c>
      <c r="E31" s="25">
        <v>64</v>
      </c>
      <c r="F31" s="31">
        <f>SUM(P30:P34)/E31</f>
        <v>0.375</v>
      </c>
      <c r="G31" s="25">
        <v>240</v>
      </c>
      <c r="H31" s="31">
        <f>SUM(Q30:Q34)/G31</f>
        <v>0.6</v>
      </c>
      <c r="I31" s="30" t="s">
        <v>2067</v>
      </c>
      <c r="J31" s="21"/>
      <c r="K31" s="9" t="s">
        <v>2030</v>
      </c>
      <c r="L31" s="9"/>
      <c r="M31" s="21"/>
      <c r="N31" s="171"/>
      <c r="O31" s="21"/>
      <c r="P31" s="15">
        <v>4</v>
      </c>
      <c r="Q31" s="15">
        <v>32</v>
      </c>
      <c r="R31" s="15">
        <v>40</v>
      </c>
      <c r="S31" s="10"/>
      <c r="T31" s="9"/>
      <c r="U31" s="21" t="s">
        <v>2068</v>
      </c>
      <c r="V31" s="21" t="s">
        <v>2069</v>
      </c>
      <c r="W31" s="14"/>
      <c r="X31" s="174"/>
      <c r="Y31" s="193"/>
    </row>
    <row r="32" spans="1:25" x14ac:dyDescent="0.3">
      <c r="A32" s="171"/>
      <c r="B32" s="171"/>
      <c r="C32" s="171"/>
      <c r="D32" s="16" t="s">
        <v>2036</v>
      </c>
      <c r="E32" s="27"/>
      <c r="F32" s="25"/>
      <c r="G32" s="27"/>
      <c r="H32" s="25"/>
      <c r="I32" s="30" t="s">
        <v>2070</v>
      </c>
      <c r="J32" s="21"/>
      <c r="K32" s="9" t="s">
        <v>2030</v>
      </c>
      <c r="L32" s="9"/>
      <c r="M32" s="21"/>
      <c r="N32" s="171"/>
      <c r="O32" s="21"/>
      <c r="P32" s="15">
        <v>4</v>
      </c>
      <c r="Q32" s="15">
        <v>16</v>
      </c>
      <c r="R32" s="15">
        <v>40</v>
      </c>
      <c r="S32" s="10"/>
      <c r="T32" s="9"/>
      <c r="U32" s="21" t="s">
        <v>2071</v>
      </c>
      <c r="V32" s="21" t="s">
        <v>2072</v>
      </c>
      <c r="W32" s="14"/>
      <c r="X32" s="174"/>
      <c r="Y32" s="193"/>
    </row>
    <row r="33" spans="1:25" x14ac:dyDescent="0.3">
      <c r="A33" s="171"/>
      <c r="B33" s="171"/>
      <c r="C33" s="171"/>
      <c r="D33" s="16" t="s">
        <v>2036</v>
      </c>
      <c r="E33" s="27"/>
      <c r="F33" s="25"/>
      <c r="G33" s="27"/>
      <c r="H33" s="25"/>
      <c r="I33" s="30" t="s">
        <v>2073</v>
      </c>
      <c r="J33" s="21"/>
      <c r="K33" s="9" t="s">
        <v>2030</v>
      </c>
      <c r="L33" s="9"/>
      <c r="M33" s="21"/>
      <c r="N33" s="171"/>
      <c r="O33" s="21"/>
      <c r="P33" s="15">
        <v>8</v>
      </c>
      <c r="Q33" s="15">
        <v>48</v>
      </c>
      <c r="R33" s="15">
        <v>80</v>
      </c>
      <c r="S33" s="10"/>
      <c r="T33" s="9"/>
      <c r="U33" s="21" t="s">
        <v>2074</v>
      </c>
      <c r="V33" s="21" t="s">
        <v>2075</v>
      </c>
      <c r="W33" s="14"/>
      <c r="X33" s="174"/>
      <c r="Y33" s="193"/>
    </row>
    <row r="34" spans="1:25" x14ac:dyDescent="0.3">
      <c r="A34" s="171"/>
      <c r="B34" s="172"/>
      <c r="C34" s="171"/>
      <c r="D34" s="16" t="s">
        <v>2036</v>
      </c>
      <c r="E34" s="28"/>
      <c r="F34" s="23"/>
      <c r="G34" s="28"/>
      <c r="H34" s="23"/>
      <c r="I34" s="15"/>
      <c r="J34" s="21"/>
      <c r="K34" s="9"/>
      <c r="L34" s="9"/>
      <c r="M34" s="21"/>
      <c r="N34" s="171"/>
      <c r="O34" s="21"/>
      <c r="P34" s="21"/>
      <c r="Q34" s="21"/>
      <c r="R34" s="21"/>
      <c r="S34" s="10"/>
      <c r="T34" s="9"/>
      <c r="U34" s="21"/>
      <c r="V34" s="21"/>
      <c r="W34" s="14"/>
      <c r="X34" s="175"/>
      <c r="Y34" s="194"/>
    </row>
    <row r="35" spans="1:25" x14ac:dyDescent="0.3">
      <c r="A35" s="171"/>
      <c r="B35" s="170" t="s">
        <v>2076</v>
      </c>
      <c r="C35" s="171"/>
      <c r="D35" s="20" t="s">
        <v>2041</v>
      </c>
      <c r="E35" s="20"/>
      <c r="F35" s="20"/>
      <c r="G35" s="20"/>
      <c r="H35" s="20"/>
      <c r="I35" s="15"/>
      <c r="J35" s="21"/>
      <c r="K35" s="9" t="s">
        <v>2030</v>
      </c>
      <c r="L35" s="9"/>
      <c r="M35" s="21"/>
      <c r="N35" s="171"/>
      <c r="O35" s="21"/>
      <c r="P35" s="21"/>
      <c r="Q35" s="21"/>
      <c r="R35" s="21"/>
      <c r="S35" s="10"/>
      <c r="T35" s="9"/>
      <c r="U35" s="21" t="s">
        <v>2077</v>
      </c>
      <c r="V35" s="21"/>
      <c r="W35" s="14" t="s">
        <v>2062</v>
      </c>
      <c r="X35" s="173" t="s">
        <v>2078</v>
      </c>
      <c r="Y35" s="192" t="s">
        <v>2079</v>
      </c>
    </row>
    <row r="36" spans="1:25" x14ac:dyDescent="0.3">
      <c r="A36" s="171"/>
      <c r="B36" s="171"/>
      <c r="C36" s="171"/>
      <c r="D36" s="16" t="s">
        <v>2036</v>
      </c>
      <c r="E36" s="25"/>
      <c r="F36" s="25"/>
      <c r="G36" s="25"/>
      <c r="H36" s="25"/>
      <c r="I36" s="30" t="s">
        <v>2080</v>
      </c>
      <c r="J36" s="21"/>
      <c r="K36" s="9" t="s">
        <v>2030</v>
      </c>
      <c r="L36" s="9"/>
      <c r="M36" s="21"/>
      <c r="N36" s="171"/>
      <c r="O36" s="21"/>
      <c r="P36" s="15">
        <v>4</v>
      </c>
      <c r="Q36" s="15">
        <v>32</v>
      </c>
      <c r="R36" s="15">
        <v>40</v>
      </c>
      <c r="S36" s="10"/>
      <c r="T36" s="9"/>
      <c r="U36" s="21" t="s">
        <v>2081</v>
      </c>
      <c r="V36" s="21" t="s">
        <v>2082</v>
      </c>
      <c r="W36" s="14"/>
      <c r="X36" s="174"/>
      <c r="Y36" s="193"/>
    </row>
    <row r="37" spans="1:25" x14ac:dyDescent="0.3">
      <c r="A37" s="171"/>
      <c r="B37" s="171"/>
      <c r="C37" s="171"/>
      <c r="D37" s="16" t="s">
        <v>2036</v>
      </c>
      <c r="E37" s="25">
        <v>64</v>
      </c>
      <c r="F37" s="31">
        <f>SUM(P36:P428)/E37</f>
        <v>10.109375</v>
      </c>
      <c r="G37" s="25">
        <v>240</v>
      </c>
      <c r="H37" s="31">
        <f>SUM(Q36:Q40)/G37</f>
        <v>0.6</v>
      </c>
      <c r="I37" s="30" t="s">
        <v>2083</v>
      </c>
      <c r="J37" s="21"/>
      <c r="K37" s="9" t="s">
        <v>2030</v>
      </c>
      <c r="L37" s="9"/>
      <c r="M37" s="21"/>
      <c r="N37" s="171"/>
      <c r="O37" s="21"/>
      <c r="P37" s="15">
        <v>4</v>
      </c>
      <c r="Q37" s="15">
        <v>32</v>
      </c>
      <c r="R37" s="15">
        <v>40</v>
      </c>
      <c r="S37" s="10"/>
      <c r="T37" s="9"/>
      <c r="U37" s="21" t="s">
        <v>2084</v>
      </c>
      <c r="V37" s="21" t="s">
        <v>2085</v>
      </c>
      <c r="W37" s="14"/>
      <c r="X37" s="174"/>
      <c r="Y37" s="193"/>
    </row>
    <row r="38" spans="1:25" x14ac:dyDescent="0.3">
      <c r="A38" s="171"/>
      <c r="B38" s="171"/>
      <c r="C38" s="171"/>
      <c r="D38" s="16" t="s">
        <v>2036</v>
      </c>
      <c r="E38" s="25"/>
      <c r="F38" s="25"/>
      <c r="G38" s="25"/>
      <c r="H38" s="25"/>
      <c r="I38" s="30" t="s">
        <v>2086</v>
      </c>
      <c r="J38" s="21"/>
      <c r="K38" s="9" t="s">
        <v>2030</v>
      </c>
      <c r="L38" s="9"/>
      <c r="M38" s="21"/>
      <c r="N38" s="171"/>
      <c r="O38" s="21"/>
      <c r="P38" s="15">
        <v>4</v>
      </c>
      <c r="Q38" s="15">
        <v>16</v>
      </c>
      <c r="R38" s="15">
        <v>40</v>
      </c>
      <c r="S38" s="10"/>
      <c r="T38" s="9"/>
      <c r="U38" s="21" t="s">
        <v>2087</v>
      </c>
      <c r="V38" s="21" t="s">
        <v>2088</v>
      </c>
      <c r="W38" s="14"/>
      <c r="X38" s="174"/>
      <c r="Y38" s="193"/>
    </row>
    <row r="39" spans="1:25" x14ac:dyDescent="0.3">
      <c r="A39" s="171"/>
      <c r="B39" s="171"/>
      <c r="C39" s="171"/>
      <c r="D39" s="16" t="s">
        <v>2036</v>
      </c>
      <c r="E39" s="25"/>
      <c r="F39" s="25"/>
      <c r="G39" s="25"/>
      <c r="H39" s="25"/>
      <c r="I39" s="30" t="s">
        <v>2089</v>
      </c>
      <c r="J39" s="21"/>
      <c r="K39" s="9" t="s">
        <v>2030</v>
      </c>
      <c r="L39" s="9"/>
      <c r="M39" s="21"/>
      <c r="N39" s="171"/>
      <c r="O39" s="21"/>
      <c r="P39" s="15">
        <v>4</v>
      </c>
      <c r="Q39" s="15">
        <v>16</v>
      </c>
      <c r="R39" s="15">
        <v>40</v>
      </c>
      <c r="S39" s="10"/>
      <c r="T39" s="9"/>
      <c r="U39" s="21" t="s">
        <v>2090</v>
      </c>
      <c r="V39" s="21" t="s">
        <v>2091</v>
      </c>
      <c r="W39" s="14"/>
      <c r="X39" s="174"/>
      <c r="Y39" s="193"/>
    </row>
    <row r="40" spans="1:25" x14ac:dyDescent="0.3">
      <c r="A40" s="171"/>
      <c r="B40" s="171"/>
      <c r="C40" s="171"/>
      <c r="D40" s="16" t="s">
        <v>2036</v>
      </c>
      <c r="E40" s="25"/>
      <c r="F40" s="25"/>
      <c r="G40" s="25"/>
      <c r="H40" s="25"/>
      <c r="I40" s="30" t="s">
        <v>2092</v>
      </c>
      <c r="J40" s="21"/>
      <c r="K40" s="9" t="s">
        <v>2030</v>
      </c>
      <c r="L40" s="9"/>
      <c r="M40" s="21"/>
      <c r="N40" s="171"/>
      <c r="O40" s="21"/>
      <c r="P40" s="15">
        <v>8</v>
      </c>
      <c r="Q40" s="15">
        <v>48</v>
      </c>
      <c r="R40" s="15">
        <v>80</v>
      </c>
      <c r="S40" s="10"/>
      <c r="T40" s="9"/>
      <c r="U40" s="21" t="s">
        <v>2093</v>
      </c>
      <c r="V40" s="21" t="s">
        <v>2094</v>
      </c>
      <c r="W40" s="14"/>
      <c r="X40" s="174"/>
      <c r="Y40" s="193"/>
    </row>
    <row r="41" spans="1:25" x14ac:dyDescent="0.3">
      <c r="A41" s="171"/>
      <c r="B41" s="170" t="s">
        <v>2095</v>
      </c>
      <c r="C41" s="171"/>
      <c r="D41" s="20" t="s">
        <v>2041</v>
      </c>
      <c r="E41" s="26"/>
      <c r="F41" s="20"/>
      <c r="G41" s="20"/>
      <c r="H41" s="20"/>
      <c r="I41" s="15"/>
      <c r="J41" s="21"/>
      <c r="K41" s="9" t="s">
        <v>2030</v>
      </c>
      <c r="L41" s="9"/>
      <c r="M41" s="21"/>
      <c r="N41" s="171"/>
      <c r="O41" s="21"/>
      <c r="P41" s="21"/>
      <c r="Q41" s="21"/>
      <c r="R41" s="21"/>
      <c r="S41" s="10"/>
      <c r="T41" s="9"/>
      <c r="U41" s="21" t="s">
        <v>2096</v>
      </c>
      <c r="V41" s="21"/>
      <c r="W41" s="14" t="s">
        <v>2062</v>
      </c>
      <c r="X41" s="173" t="s">
        <v>2097</v>
      </c>
      <c r="Y41" s="192" t="s">
        <v>2098</v>
      </c>
    </row>
    <row r="42" spans="1:25" x14ac:dyDescent="0.3">
      <c r="A42" s="171"/>
      <c r="B42" s="171"/>
      <c r="C42" s="171"/>
      <c r="D42" s="16" t="s">
        <v>2036</v>
      </c>
      <c r="E42" s="27"/>
      <c r="F42" s="31"/>
      <c r="G42" s="25"/>
      <c r="H42" s="25"/>
      <c r="I42" s="30" t="s">
        <v>2099</v>
      </c>
      <c r="J42" s="21"/>
      <c r="K42" s="9" t="s">
        <v>2030</v>
      </c>
      <c r="L42" s="9"/>
      <c r="M42" s="21"/>
      <c r="N42" s="171"/>
      <c r="O42" s="21"/>
      <c r="P42" s="15">
        <v>4</v>
      </c>
      <c r="Q42" s="15">
        <v>32</v>
      </c>
      <c r="R42" s="15">
        <v>40</v>
      </c>
      <c r="S42" s="10"/>
      <c r="T42" s="9"/>
      <c r="U42" s="21" t="s">
        <v>2100</v>
      </c>
      <c r="V42" s="21" t="s">
        <v>2101</v>
      </c>
      <c r="W42" s="14"/>
      <c r="X42" s="174"/>
      <c r="Y42" s="193"/>
    </row>
    <row r="43" spans="1:25" x14ac:dyDescent="0.3">
      <c r="A43" s="171"/>
      <c r="B43" s="171"/>
      <c r="C43" s="171"/>
      <c r="D43" s="16" t="s">
        <v>2036</v>
      </c>
      <c r="E43" s="25">
        <v>64</v>
      </c>
      <c r="F43" s="31">
        <f>SUM(P42:P46)/E43</f>
        <v>0.3125</v>
      </c>
      <c r="G43" s="25">
        <v>240</v>
      </c>
      <c r="H43" s="31">
        <f>SUM(Q42:Q46)/G43</f>
        <v>0.53333333333333333</v>
      </c>
      <c r="I43" s="30" t="s">
        <v>2102</v>
      </c>
      <c r="J43" s="21"/>
      <c r="K43" s="9" t="s">
        <v>2030</v>
      </c>
      <c r="L43" s="9"/>
      <c r="M43" s="21"/>
      <c r="N43" s="171"/>
      <c r="O43" s="21"/>
      <c r="P43" s="15">
        <v>4</v>
      </c>
      <c r="Q43" s="15">
        <v>32</v>
      </c>
      <c r="R43" s="15">
        <v>40</v>
      </c>
      <c r="S43" s="10"/>
      <c r="T43" s="9"/>
      <c r="U43" s="21" t="s">
        <v>2103</v>
      </c>
      <c r="V43" s="21" t="s">
        <v>2104</v>
      </c>
      <c r="W43" s="14"/>
      <c r="X43" s="174"/>
      <c r="Y43" s="193"/>
    </row>
    <row r="44" spans="1:25" x14ac:dyDescent="0.3">
      <c r="A44" s="171"/>
      <c r="B44" s="171"/>
      <c r="C44" s="171"/>
      <c r="D44" s="16" t="s">
        <v>2036</v>
      </c>
      <c r="E44" s="27"/>
      <c r="F44" s="25"/>
      <c r="G44" s="25"/>
      <c r="H44" s="25"/>
      <c r="I44" s="30" t="s">
        <v>2105</v>
      </c>
      <c r="J44" s="21"/>
      <c r="K44" s="9" t="s">
        <v>2030</v>
      </c>
      <c r="L44" s="9"/>
      <c r="M44" s="21"/>
      <c r="N44" s="171"/>
      <c r="O44" s="21"/>
      <c r="P44" s="15">
        <v>4</v>
      </c>
      <c r="Q44" s="15">
        <v>16</v>
      </c>
      <c r="R44" s="15">
        <v>40</v>
      </c>
      <c r="S44" s="10"/>
      <c r="T44" s="9"/>
      <c r="U44" s="21" t="s">
        <v>2106</v>
      </c>
      <c r="V44" s="21" t="s">
        <v>2107</v>
      </c>
      <c r="W44" s="14"/>
      <c r="X44" s="174"/>
      <c r="Y44" s="193"/>
    </row>
    <row r="45" spans="1:25" x14ac:dyDescent="0.3">
      <c r="A45" s="171"/>
      <c r="B45" s="172"/>
      <c r="C45" s="171"/>
      <c r="D45" s="16" t="s">
        <v>2036</v>
      </c>
      <c r="E45" s="28"/>
      <c r="F45" s="23"/>
      <c r="G45" s="23"/>
      <c r="H45" s="23"/>
      <c r="I45" s="30" t="s">
        <v>2108</v>
      </c>
      <c r="J45" s="21"/>
      <c r="K45" s="9" t="s">
        <v>2030</v>
      </c>
      <c r="L45" s="9"/>
      <c r="M45" s="21"/>
      <c r="N45" s="171"/>
      <c r="O45" s="21"/>
      <c r="P45" s="15">
        <v>8</v>
      </c>
      <c r="Q45" s="15">
        <v>48</v>
      </c>
      <c r="R45" s="15">
        <v>80</v>
      </c>
      <c r="S45" s="10"/>
      <c r="T45" s="9"/>
      <c r="U45" s="21" t="s">
        <v>2109</v>
      </c>
      <c r="V45" s="21" t="s">
        <v>2110</v>
      </c>
      <c r="W45" s="14"/>
      <c r="X45" s="175"/>
      <c r="Y45" s="194"/>
    </row>
    <row r="46" spans="1:25" x14ac:dyDescent="0.3">
      <c r="A46" s="171"/>
      <c r="B46" s="170" t="s">
        <v>2111</v>
      </c>
      <c r="C46" s="171"/>
      <c r="D46" s="20" t="s">
        <v>2041</v>
      </c>
      <c r="E46" s="20"/>
      <c r="F46" s="20"/>
      <c r="G46" s="20"/>
      <c r="H46" s="20"/>
      <c r="I46" s="15"/>
      <c r="J46" s="21"/>
      <c r="K46" s="9" t="s">
        <v>2030</v>
      </c>
      <c r="L46" s="9"/>
      <c r="M46" s="21"/>
      <c r="N46" s="171"/>
      <c r="O46" s="21"/>
      <c r="P46" s="21"/>
      <c r="Q46" s="21"/>
      <c r="R46" s="21"/>
      <c r="S46" s="10"/>
      <c r="T46" s="9"/>
      <c r="U46" s="21" t="s">
        <v>2112</v>
      </c>
      <c r="V46" s="21"/>
      <c r="W46" s="14" t="s">
        <v>2062</v>
      </c>
      <c r="X46" s="173" t="s">
        <v>2113</v>
      </c>
      <c r="Y46" s="192" t="s">
        <v>2114</v>
      </c>
    </row>
    <row r="47" spans="1:25" x14ac:dyDescent="0.3">
      <c r="A47" s="171"/>
      <c r="B47" s="171"/>
      <c r="C47" s="171"/>
      <c r="D47" s="16" t="s">
        <v>2036</v>
      </c>
      <c r="E47" s="25"/>
      <c r="F47" s="25"/>
      <c r="G47" s="25"/>
      <c r="H47" s="25"/>
      <c r="I47" s="15"/>
      <c r="J47" s="21"/>
      <c r="K47" s="9"/>
      <c r="L47" s="9"/>
      <c r="M47" s="21"/>
      <c r="N47" s="171"/>
      <c r="O47" s="21"/>
      <c r="P47" s="21"/>
      <c r="Q47" s="21"/>
      <c r="R47" s="21"/>
      <c r="S47" s="10"/>
      <c r="T47" s="9"/>
      <c r="U47" s="21"/>
      <c r="V47" s="21"/>
      <c r="W47" s="14"/>
      <c r="X47" s="174"/>
      <c r="Y47" s="193"/>
    </row>
    <row r="48" spans="1:25" x14ac:dyDescent="0.3">
      <c r="A48" s="171"/>
      <c r="B48" s="171"/>
      <c r="C48" s="171"/>
      <c r="D48" s="16" t="s">
        <v>2036</v>
      </c>
      <c r="E48" s="25">
        <v>64</v>
      </c>
      <c r="F48" s="31">
        <f>SUM(P47:P50)/E48</f>
        <v>0</v>
      </c>
      <c r="G48" s="25">
        <v>240</v>
      </c>
      <c r="H48" s="31">
        <f>SUM(Q47:Q50)/G48</f>
        <v>0</v>
      </c>
      <c r="I48" s="15"/>
      <c r="J48" s="21"/>
      <c r="K48" s="9"/>
      <c r="L48" s="9"/>
      <c r="M48" s="21"/>
      <c r="N48" s="171"/>
      <c r="O48" s="21"/>
      <c r="P48" s="21"/>
      <c r="Q48" s="21"/>
      <c r="R48" s="21"/>
      <c r="S48" s="10"/>
      <c r="T48" s="9"/>
      <c r="U48" s="21"/>
      <c r="V48" s="21"/>
      <c r="W48" s="14"/>
      <c r="X48" s="174"/>
      <c r="Y48" s="193"/>
    </row>
    <row r="49" spans="1:25" x14ac:dyDescent="0.3">
      <c r="A49" s="171"/>
      <c r="B49" s="171"/>
      <c r="C49" s="171"/>
      <c r="D49" s="16" t="s">
        <v>2036</v>
      </c>
      <c r="E49" s="25"/>
      <c r="F49" s="25"/>
      <c r="G49" s="25"/>
      <c r="H49" s="25"/>
      <c r="I49" s="15"/>
      <c r="J49" s="21"/>
      <c r="K49" s="9"/>
      <c r="L49" s="9"/>
      <c r="M49" s="21"/>
      <c r="N49" s="171"/>
      <c r="O49" s="21"/>
      <c r="P49" s="21"/>
      <c r="Q49" s="21"/>
      <c r="R49" s="21"/>
      <c r="S49" s="10"/>
      <c r="T49" s="9"/>
      <c r="U49" s="21"/>
      <c r="V49" s="21"/>
      <c r="W49" s="14"/>
      <c r="X49" s="174"/>
      <c r="Y49" s="193"/>
    </row>
    <row r="50" spans="1:25" x14ac:dyDescent="0.3">
      <c r="A50" s="171"/>
      <c r="B50" s="172"/>
      <c r="C50" s="171"/>
      <c r="D50" s="16" t="s">
        <v>2036</v>
      </c>
      <c r="E50" s="23"/>
      <c r="F50" s="23"/>
      <c r="G50" s="23"/>
      <c r="H50" s="23"/>
      <c r="I50" s="15"/>
      <c r="J50" s="21"/>
      <c r="K50" s="9"/>
      <c r="L50" s="9"/>
      <c r="M50" s="21"/>
      <c r="N50" s="171"/>
      <c r="O50" s="21"/>
      <c r="P50" s="21"/>
      <c r="Q50" s="21"/>
      <c r="R50" s="21"/>
      <c r="S50" s="10"/>
      <c r="T50" s="9"/>
      <c r="U50" s="21"/>
      <c r="V50" s="21"/>
      <c r="W50" s="14"/>
      <c r="X50" s="175"/>
      <c r="Y50" s="194"/>
    </row>
    <row r="51" spans="1:25" x14ac:dyDescent="0.3">
      <c r="A51" s="171"/>
      <c r="B51" s="170" t="s">
        <v>2115</v>
      </c>
      <c r="C51" s="171"/>
      <c r="D51" s="20" t="s">
        <v>2041</v>
      </c>
      <c r="E51" s="20"/>
      <c r="F51" s="20"/>
      <c r="G51" s="20"/>
      <c r="H51" s="20"/>
      <c r="I51" s="15"/>
      <c r="J51" s="21"/>
      <c r="K51" s="9" t="s">
        <v>2030</v>
      </c>
      <c r="L51" s="9"/>
      <c r="M51" s="21"/>
      <c r="N51" s="171"/>
      <c r="O51" s="21"/>
      <c r="P51" s="21"/>
      <c r="Q51" s="21"/>
      <c r="R51" s="21"/>
      <c r="S51" s="10"/>
      <c r="T51" s="9"/>
      <c r="U51" s="21" t="s">
        <v>2116</v>
      </c>
      <c r="V51" s="21"/>
      <c r="W51" s="14" t="s">
        <v>2062</v>
      </c>
      <c r="X51" s="173" t="s">
        <v>2117</v>
      </c>
      <c r="Y51" s="192" t="s">
        <v>2118</v>
      </c>
    </row>
    <row r="52" spans="1:25" x14ac:dyDescent="0.3">
      <c r="A52" s="171"/>
      <c r="B52" s="171"/>
      <c r="C52" s="171"/>
      <c r="D52" s="16" t="s">
        <v>2036</v>
      </c>
      <c r="E52" s="25"/>
      <c r="F52" s="25"/>
      <c r="G52" s="25"/>
      <c r="H52" s="25"/>
      <c r="I52" s="30" t="s">
        <v>2119</v>
      </c>
      <c r="J52" s="21"/>
      <c r="K52" s="9" t="s">
        <v>2030</v>
      </c>
      <c r="L52" s="9"/>
      <c r="M52" s="21"/>
      <c r="N52" s="171"/>
      <c r="O52" s="21"/>
      <c r="P52" s="15">
        <v>4</v>
      </c>
      <c r="Q52" s="15">
        <v>32</v>
      </c>
      <c r="R52" s="15">
        <v>40</v>
      </c>
      <c r="S52" s="10"/>
      <c r="T52" s="9"/>
      <c r="U52" s="21" t="s">
        <v>2120</v>
      </c>
      <c r="V52" s="21" t="s">
        <v>2121</v>
      </c>
      <c r="W52" s="14"/>
      <c r="X52" s="174"/>
      <c r="Y52" s="193"/>
    </row>
    <row r="53" spans="1:25" x14ac:dyDescent="0.3">
      <c r="A53" s="171"/>
      <c r="B53" s="171"/>
      <c r="C53" s="171"/>
      <c r="D53" s="16" t="s">
        <v>2036</v>
      </c>
      <c r="E53" s="25">
        <v>64</v>
      </c>
      <c r="F53" s="31">
        <f>SUM(P52:P56)/E53</f>
        <v>0.375</v>
      </c>
      <c r="G53" s="25">
        <v>240</v>
      </c>
      <c r="H53" s="31">
        <f>SUM(Q52:Q56)/G53</f>
        <v>0.56666666666666665</v>
      </c>
      <c r="I53" s="30" t="s">
        <v>2122</v>
      </c>
      <c r="J53" s="21"/>
      <c r="K53" s="9" t="s">
        <v>2030</v>
      </c>
      <c r="L53" s="9"/>
      <c r="M53" s="21"/>
      <c r="N53" s="171"/>
      <c r="O53" s="21"/>
      <c r="P53" s="15">
        <v>4</v>
      </c>
      <c r="Q53" s="15">
        <v>32</v>
      </c>
      <c r="R53" s="15">
        <v>40</v>
      </c>
      <c r="S53" s="10"/>
      <c r="T53" s="9"/>
      <c r="U53" s="21" t="s">
        <v>2123</v>
      </c>
      <c r="V53" s="21" t="s">
        <v>2124</v>
      </c>
      <c r="W53" s="14"/>
      <c r="X53" s="174"/>
      <c r="Y53" s="193"/>
    </row>
    <row r="54" spans="1:25" x14ac:dyDescent="0.3">
      <c r="A54" s="171"/>
      <c r="B54" s="171"/>
      <c r="C54" s="171"/>
      <c r="D54" s="16" t="s">
        <v>2036</v>
      </c>
      <c r="E54" s="25"/>
      <c r="F54" s="25"/>
      <c r="G54" s="25"/>
      <c r="H54" s="25"/>
      <c r="I54" s="30" t="s">
        <v>2125</v>
      </c>
      <c r="J54" s="21"/>
      <c r="K54" s="9" t="s">
        <v>2030</v>
      </c>
      <c r="L54" s="9"/>
      <c r="M54" s="21"/>
      <c r="N54" s="171"/>
      <c r="O54" s="21"/>
      <c r="P54" s="15">
        <v>4</v>
      </c>
      <c r="Q54" s="15">
        <v>8</v>
      </c>
      <c r="R54" s="15">
        <v>80</v>
      </c>
      <c r="S54" s="10"/>
      <c r="T54" s="9"/>
      <c r="U54" s="21" t="s">
        <v>2126</v>
      </c>
      <c r="V54" s="21" t="s">
        <v>2127</v>
      </c>
      <c r="W54" s="14"/>
      <c r="X54" s="174"/>
      <c r="Y54" s="193"/>
    </row>
    <row r="55" spans="1:25" x14ac:dyDescent="0.3">
      <c r="A55" s="171"/>
      <c r="B55" s="171"/>
      <c r="C55" s="171"/>
      <c r="D55" s="16" t="s">
        <v>2036</v>
      </c>
      <c r="E55" s="25"/>
      <c r="F55" s="25"/>
      <c r="G55" s="25"/>
      <c r="H55" s="25"/>
      <c r="I55" s="30" t="s">
        <v>2128</v>
      </c>
      <c r="J55" s="21"/>
      <c r="K55" s="9" t="s">
        <v>2030</v>
      </c>
      <c r="L55" s="9"/>
      <c r="M55" s="21"/>
      <c r="N55" s="171"/>
      <c r="O55" s="21"/>
      <c r="P55" s="15">
        <v>4</v>
      </c>
      <c r="Q55" s="15">
        <v>16</v>
      </c>
      <c r="R55" s="15">
        <v>40</v>
      </c>
      <c r="S55" s="10"/>
      <c r="T55" s="9"/>
      <c r="U55" s="21" t="s">
        <v>2129</v>
      </c>
      <c r="V55" s="21" t="s">
        <v>2130</v>
      </c>
      <c r="W55" s="14"/>
      <c r="X55" s="174"/>
      <c r="Y55" s="193"/>
    </row>
    <row r="56" spans="1:25" x14ac:dyDescent="0.3">
      <c r="A56" s="171"/>
      <c r="B56" s="172"/>
      <c r="C56" s="171"/>
      <c r="D56" s="16" t="s">
        <v>2036</v>
      </c>
      <c r="E56" s="23"/>
      <c r="F56" s="23"/>
      <c r="G56" s="23"/>
      <c r="H56" s="23"/>
      <c r="I56" s="30" t="s">
        <v>2131</v>
      </c>
      <c r="J56" s="21"/>
      <c r="K56" s="9" t="s">
        <v>2030</v>
      </c>
      <c r="L56" s="9"/>
      <c r="M56" s="21"/>
      <c r="N56" s="171"/>
      <c r="O56" s="21"/>
      <c r="P56" s="15">
        <v>8</v>
      </c>
      <c r="Q56" s="15">
        <v>48</v>
      </c>
      <c r="R56" s="15">
        <v>80</v>
      </c>
      <c r="S56" s="10"/>
      <c r="T56" s="9"/>
      <c r="U56" s="21" t="s">
        <v>2132</v>
      </c>
      <c r="V56" s="21" t="s">
        <v>2133</v>
      </c>
      <c r="W56" s="14"/>
      <c r="X56" s="175"/>
      <c r="Y56" s="194"/>
    </row>
    <row r="57" spans="1:25" x14ac:dyDescent="0.3">
      <c r="A57" s="171"/>
      <c r="B57" s="170" t="s">
        <v>2134</v>
      </c>
      <c r="C57" s="171"/>
      <c r="D57" s="20" t="s">
        <v>2041</v>
      </c>
      <c r="E57" s="20"/>
      <c r="F57" s="20"/>
      <c r="G57" s="20"/>
      <c r="H57" s="20"/>
      <c r="I57" s="15"/>
      <c r="J57" s="21"/>
      <c r="K57" s="9" t="s">
        <v>2030</v>
      </c>
      <c r="L57" s="9"/>
      <c r="M57" s="21"/>
      <c r="N57" s="171"/>
      <c r="O57" s="21"/>
      <c r="P57" s="21"/>
      <c r="Q57" s="21"/>
      <c r="R57" s="21"/>
      <c r="S57" s="10"/>
      <c r="T57" s="9"/>
      <c r="U57" s="21" t="s">
        <v>2135</v>
      </c>
      <c r="V57" s="21"/>
      <c r="W57" s="14" t="s">
        <v>2062</v>
      </c>
      <c r="X57" s="173" t="s">
        <v>2136</v>
      </c>
      <c r="Y57" s="192" t="s">
        <v>2137</v>
      </c>
    </row>
    <row r="58" spans="1:25" x14ac:dyDescent="0.3">
      <c r="A58" s="171"/>
      <c r="B58" s="171"/>
      <c r="C58" s="171"/>
      <c r="D58" s="16" t="s">
        <v>2036</v>
      </c>
      <c r="E58" s="25"/>
      <c r="F58" s="25"/>
      <c r="G58" s="25"/>
      <c r="H58" s="25"/>
      <c r="I58" s="30" t="s">
        <v>2138</v>
      </c>
      <c r="J58" s="21"/>
      <c r="K58" s="9" t="s">
        <v>2139</v>
      </c>
      <c r="L58" s="9"/>
      <c r="M58" s="21"/>
      <c r="N58" s="171"/>
      <c r="O58" s="21"/>
      <c r="P58" s="15">
        <v>2</v>
      </c>
      <c r="Q58" s="15">
        <v>4</v>
      </c>
      <c r="R58" s="15">
        <v>30</v>
      </c>
      <c r="S58" s="10"/>
      <c r="T58" s="9"/>
      <c r="U58" s="21" t="s">
        <v>2140</v>
      </c>
      <c r="V58" s="21" t="s">
        <v>2141</v>
      </c>
      <c r="W58" s="14"/>
      <c r="X58" s="174"/>
      <c r="Y58" s="193"/>
    </row>
    <row r="59" spans="1:25" x14ac:dyDescent="0.3">
      <c r="A59" s="171"/>
      <c r="B59" s="171"/>
      <c r="C59" s="171"/>
      <c r="D59" s="16" t="s">
        <v>2036</v>
      </c>
      <c r="E59" s="25">
        <v>64</v>
      </c>
      <c r="F59" s="31">
        <f>SUM(P58:P61)/E59</f>
        <v>9.375E-2</v>
      </c>
      <c r="G59" s="25">
        <v>240</v>
      </c>
      <c r="H59" s="31">
        <f>SUM(Q58:Q61)/G59</f>
        <v>8.3333333333333329E-2</v>
      </c>
      <c r="I59" s="30" t="s">
        <v>2142</v>
      </c>
      <c r="J59" s="21"/>
      <c r="K59" s="9" t="s">
        <v>2030</v>
      </c>
      <c r="L59" s="9"/>
      <c r="M59" s="21"/>
      <c r="N59" s="171"/>
      <c r="O59" s="21"/>
      <c r="P59" s="15">
        <v>4</v>
      </c>
      <c r="Q59" s="15">
        <v>16</v>
      </c>
      <c r="R59" s="15">
        <v>40</v>
      </c>
      <c r="S59" s="10"/>
      <c r="T59" s="9"/>
      <c r="U59" s="21" t="s">
        <v>2143</v>
      </c>
      <c r="V59" s="21" t="s">
        <v>2144</v>
      </c>
      <c r="W59" s="14"/>
      <c r="X59" s="174"/>
      <c r="Y59" s="193"/>
    </row>
    <row r="60" spans="1:25" x14ac:dyDescent="0.3">
      <c r="A60" s="171"/>
      <c r="B60" s="171"/>
      <c r="C60" s="171"/>
      <c r="D60" s="16" t="s">
        <v>2036</v>
      </c>
      <c r="E60" s="25"/>
      <c r="F60" s="25"/>
      <c r="G60" s="25"/>
      <c r="H60" s="25"/>
      <c r="I60" s="15"/>
      <c r="J60" s="21"/>
      <c r="K60" s="9"/>
      <c r="L60" s="9"/>
      <c r="M60" s="21"/>
      <c r="N60" s="171"/>
      <c r="O60" s="21"/>
      <c r="P60" s="21"/>
      <c r="Q60" s="21"/>
      <c r="R60" s="21"/>
      <c r="S60" s="10"/>
      <c r="T60" s="9"/>
      <c r="U60" s="21"/>
      <c r="V60" s="21"/>
      <c r="W60" s="14"/>
      <c r="X60" s="174"/>
      <c r="Y60" s="193"/>
    </row>
    <row r="61" spans="1:25" x14ac:dyDescent="0.3">
      <c r="A61" s="171"/>
      <c r="B61" s="172"/>
      <c r="C61" s="171"/>
      <c r="D61" s="16" t="s">
        <v>2036</v>
      </c>
      <c r="E61" s="23"/>
      <c r="F61" s="23"/>
      <c r="G61" s="23"/>
      <c r="H61" s="23"/>
      <c r="I61" s="15"/>
      <c r="J61" s="21"/>
      <c r="K61" s="9"/>
      <c r="L61" s="9"/>
      <c r="M61" s="21"/>
      <c r="N61" s="171"/>
      <c r="O61" s="21"/>
      <c r="P61" s="21"/>
      <c r="Q61" s="21"/>
      <c r="R61" s="21"/>
      <c r="S61" s="10"/>
      <c r="T61" s="9"/>
      <c r="U61" s="21"/>
      <c r="V61" s="21"/>
      <c r="W61" s="14"/>
      <c r="X61" s="175"/>
      <c r="Y61" s="194"/>
    </row>
    <row r="62" spans="1:25" x14ac:dyDescent="0.3">
      <c r="A62" s="171"/>
      <c r="B62" s="170" t="s">
        <v>2145</v>
      </c>
      <c r="C62" s="171"/>
      <c r="D62" s="20" t="s">
        <v>2041</v>
      </c>
      <c r="E62" s="20"/>
      <c r="F62" s="20"/>
      <c r="G62" s="20"/>
      <c r="H62" s="20"/>
      <c r="I62" s="15"/>
      <c r="J62" s="21"/>
      <c r="K62" s="9" t="s">
        <v>2030</v>
      </c>
      <c r="L62" s="9"/>
      <c r="M62" s="21"/>
      <c r="N62" s="171"/>
      <c r="O62" s="21"/>
      <c r="P62" s="15"/>
      <c r="Q62" s="15"/>
      <c r="R62" s="15"/>
      <c r="S62" s="10"/>
      <c r="T62" s="9"/>
      <c r="U62" s="21" t="s">
        <v>2146</v>
      </c>
      <c r="V62" s="21"/>
      <c r="W62" s="14" t="s">
        <v>2062</v>
      </c>
      <c r="X62" s="173" t="s">
        <v>2147</v>
      </c>
      <c r="Y62" s="192" t="s">
        <v>2148</v>
      </c>
    </row>
    <row r="63" spans="1:25" x14ac:dyDescent="0.3">
      <c r="A63" s="171"/>
      <c r="B63" s="171"/>
      <c r="C63" s="171"/>
      <c r="D63" s="16" t="s">
        <v>2036</v>
      </c>
      <c r="E63" s="25"/>
      <c r="F63" s="25"/>
      <c r="G63" s="25"/>
      <c r="H63" s="25"/>
      <c r="I63" s="30" t="s">
        <v>2149</v>
      </c>
      <c r="J63" s="21"/>
      <c r="K63" s="9" t="s">
        <v>2030</v>
      </c>
      <c r="L63" s="9"/>
      <c r="M63" s="21"/>
      <c r="N63" s="171"/>
      <c r="O63" s="21"/>
      <c r="P63" s="15">
        <v>8</v>
      </c>
      <c r="Q63" s="15">
        <v>48</v>
      </c>
      <c r="R63" s="15">
        <v>40</v>
      </c>
      <c r="S63" s="10"/>
      <c r="T63" s="9"/>
      <c r="U63" s="21" t="s">
        <v>2150</v>
      </c>
      <c r="V63" s="21" t="s">
        <v>2151</v>
      </c>
      <c r="W63" s="14"/>
      <c r="X63" s="174"/>
      <c r="Y63" s="193"/>
    </row>
    <row r="64" spans="1:25" x14ac:dyDescent="0.3">
      <c r="A64" s="171"/>
      <c r="B64" s="171"/>
      <c r="C64" s="171"/>
      <c r="D64" s="16" t="s">
        <v>2036</v>
      </c>
      <c r="E64" s="25">
        <v>64</v>
      </c>
      <c r="F64" s="31">
        <f>SUM(P63:P67)/E64</f>
        <v>0.5</v>
      </c>
      <c r="G64" s="25">
        <v>240</v>
      </c>
      <c r="H64" s="31">
        <f>SUM(Q63:Q67)/G64</f>
        <v>0.8</v>
      </c>
      <c r="I64" s="30" t="s">
        <v>2152</v>
      </c>
      <c r="J64" s="21"/>
      <c r="K64" s="9" t="s">
        <v>2030</v>
      </c>
      <c r="L64" s="9"/>
      <c r="M64" s="21"/>
      <c r="N64" s="171"/>
      <c r="O64" s="21"/>
      <c r="P64" s="15">
        <v>4</v>
      </c>
      <c r="Q64" s="15">
        <v>32</v>
      </c>
      <c r="R64" s="15">
        <v>40</v>
      </c>
      <c r="S64" s="10"/>
      <c r="T64" s="9"/>
      <c r="U64" s="21" t="s">
        <v>2153</v>
      </c>
      <c r="V64" s="21" t="s">
        <v>2154</v>
      </c>
      <c r="W64" s="14"/>
      <c r="X64" s="174"/>
      <c r="Y64" s="193"/>
    </row>
    <row r="65" spans="1:25" x14ac:dyDescent="0.3">
      <c r="A65" s="171"/>
      <c r="B65" s="171"/>
      <c r="C65" s="171"/>
      <c r="D65" s="16" t="s">
        <v>2036</v>
      </c>
      <c r="E65" s="25"/>
      <c r="F65" s="25"/>
      <c r="G65" s="25"/>
      <c r="H65" s="25"/>
      <c r="I65" s="30" t="s">
        <v>2155</v>
      </c>
      <c r="J65" s="21"/>
      <c r="K65" s="9" t="s">
        <v>2030</v>
      </c>
      <c r="L65" s="9"/>
      <c r="M65" s="21"/>
      <c r="N65" s="171"/>
      <c r="O65" s="21"/>
      <c r="P65" s="15">
        <v>4</v>
      </c>
      <c r="Q65" s="15">
        <v>16</v>
      </c>
      <c r="R65" s="15">
        <v>40</v>
      </c>
      <c r="S65" s="10"/>
      <c r="T65" s="9"/>
      <c r="U65" s="21" t="s">
        <v>2156</v>
      </c>
      <c r="V65" s="21" t="s">
        <v>2157</v>
      </c>
      <c r="W65" s="14"/>
      <c r="X65" s="174"/>
      <c r="Y65" s="193"/>
    </row>
    <row r="66" spans="1:25" x14ac:dyDescent="0.3">
      <c r="A66" s="171"/>
      <c r="B66" s="171"/>
      <c r="C66" s="171"/>
      <c r="D66" s="16" t="s">
        <v>2036</v>
      </c>
      <c r="E66" s="25"/>
      <c r="F66" s="25"/>
      <c r="G66" s="25"/>
      <c r="H66" s="25"/>
      <c r="I66" s="30" t="s">
        <v>2158</v>
      </c>
      <c r="J66" s="21"/>
      <c r="K66" s="9" t="s">
        <v>2030</v>
      </c>
      <c r="L66" s="9"/>
      <c r="M66" s="21"/>
      <c r="N66" s="171"/>
      <c r="O66" s="21"/>
      <c r="P66" s="15">
        <v>8</v>
      </c>
      <c r="Q66" s="15">
        <v>48</v>
      </c>
      <c r="R66" s="15">
        <v>80</v>
      </c>
      <c r="S66" s="10"/>
      <c r="T66" s="9"/>
      <c r="U66" s="21" t="s">
        <v>2159</v>
      </c>
      <c r="V66" s="21" t="s">
        <v>2160</v>
      </c>
      <c r="W66" s="14"/>
      <c r="X66" s="174"/>
      <c r="Y66" s="193"/>
    </row>
    <row r="67" spans="1:25" x14ac:dyDescent="0.3">
      <c r="A67" s="171"/>
      <c r="B67" s="172"/>
      <c r="C67" s="171"/>
      <c r="D67" s="16" t="s">
        <v>2036</v>
      </c>
      <c r="E67" s="23"/>
      <c r="F67" s="23"/>
      <c r="G67" s="23"/>
      <c r="H67" s="23"/>
      <c r="I67" s="30" t="s">
        <v>2161</v>
      </c>
      <c r="J67" s="21"/>
      <c r="K67" s="9" t="s">
        <v>2030</v>
      </c>
      <c r="L67" s="9"/>
      <c r="M67" s="21"/>
      <c r="N67" s="171"/>
      <c r="O67" s="21"/>
      <c r="P67" s="15">
        <v>8</v>
      </c>
      <c r="Q67" s="15">
        <v>48</v>
      </c>
      <c r="R67" s="15">
        <v>80</v>
      </c>
      <c r="S67" s="10"/>
      <c r="T67" s="9"/>
      <c r="U67" s="21" t="s">
        <v>2162</v>
      </c>
      <c r="V67" s="21" t="s">
        <v>2163</v>
      </c>
      <c r="W67" s="14"/>
      <c r="X67" s="175"/>
      <c r="Y67" s="194"/>
    </row>
    <row r="68" spans="1:25" x14ac:dyDescent="0.3">
      <c r="A68" s="171"/>
      <c r="B68" s="170" t="s">
        <v>2164</v>
      </c>
      <c r="C68" s="171"/>
      <c r="D68" s="20" t="s">
        <v>2041</v>
      </c>
      <c r="E68" s="20"/>
      <c r="F68" s="20"/>
      <c r="G68" s="20"/>
      <c r="H68" s="20"/>
      <c r="I68" s="15"/>
      <c r="J68" s="21"/>
      <c r="K68" s="9" t="s">
        <v>2030</v>
      </c>
      <c r="L68" s="9"/>
      <c r="M68" s="21"/>
      <c r="N68" s="171"/>
      <c r="O68" s="21"/>
      <c r="P68" s="15"/>
      <c r="Q68" s="15"/>
      <c r="R68" s="15"/>
      <c r="S68" s="10"/>
      <c r="T68" s="9"/>
      <c r="U68" s="21" t="s">
        <v>2165</v>
      </c>
      <c r="V68" s="21"/>
      <c r="W68" s="14" t="s">
        <v>2062</v>
      </c>
      <c r="X68" s="173" t="s">
        <v>2166</v>
      </c>
      <c r="Y68" s="192" t="s">
        <v>2167</v>
      </c>
    </row>
    <row r="69" spans="1:25" x14ac:dyDescent="0.3">
      <c r="A69" s="171"/>
      <c r="B69" s="171"/>
      <c r="C69" s="171"/>
      <c r="D69" s="16" t="s">
        <v>2036</v>
      </c>
      <c r="E69" s="25"/>
      <c r="F69" s="25"/>
      <c r="G69" s="25"/>
      <c r="H69" s="25"/>
      <c r="I69" s="30" t="s">
        <v>2168</v>
      </c>
      <c r="J69" s="21"/>
      <c r="K69" s="9" t="s">
        <v>2030</v>
      </c>
      <c r="L69" s="9"/>
      <c r="M69" s="21"/>
      <c r="N69" s="171"/>
      <c r="O69" s="21"/>
      <c r="P69" s="15">
        <v>4</v>
      </c>
      <c r="Q69" s="15">
        <v>32</v>
      </c>
      <c r="R69" s="15">
        <v>40</v>
      </c>
      <c r="S69" s="10"/>
      <c r="T69" s="9"/>
      <c r="U69" s="21" t="s">
        <v>2169</v>
      </c>
      <c r="V69" s="21" t="s">
        <v>2170</v>
      </c>
      <c r="W69" s="14"/>
      <c r="X69" s="174"/>
      <c r="Y69" s="193"/>
    </row>
    <row r="70" spans="1:25" x14ac:dyDescent="0.3">
      <c r="A70" s="171"/>
      <c r="B70" s="171"/>
      <c r="C70" s="171"/>
      <c r="D70" s="16" t="s">
        <v>2036</v>
      </c>
      <c r="E70" s="25"/>
      <c r="F70" s="25"/>
      <c r="G70" s="25"/>
      <c r="H70" s="25"/>
      <c r="I70" s="30" t="s">
        <v>2171</v>
      </c>
      <c r="J70" s="21"/>
      <c r="K70" s="9" t="s">
        <v>2030</v>
      </c>
      <c r="L70" s="9"/>
      <c r="M70" s="21"/>
      <c r="N70" s="171"/>
      <c r="O70" s="21"/>
      <c r="P70" s="15">
        <v>4</v>
      </c>
      <c r="Q70" s="15">
        <v>16</v>
      </c>
      <c r="R70" s="15">
        <v>40</v>
      </c>
      <c r="S70" s="10"/>
      <c r="T70" s="9"/>
      <c r="U70" s="21" t="s">
        <v>2172</v>
      </c>
      <c r="V70" s="21" t="s">
        <v>2173</v>
      </c>
      <c r="W70" s="14"/>
      <c r="X70" s="174"/>
      <c r="Y70" s="193"/>
    </row>
    <row r="71" spans="1:25" x14ac:dyDescent="0.3">
      <c r="A71" s="171"/>
      <c r="B71" s="171"/>
      <c r="C71" s="171"/>
      <c r="D71" s="16" t="s">
        <v>2036</v>
      </c>
      <c r="E71" s="25">
        <v>64</v>
      </c>
      <c r="F71" s="31">
        <f>SUM(P69:P74)/E71</f>
        <v>0.375</v>
      </c>
      <c r="G71" s="25">
        <v>240</v>
      </c>
      <c r="H71" s="31">
        <f>SUM(Q69:Q74)/G71</f>
        <v>0.5083333333333333</v>
      </c>
      <c r="I71" s="30" t="s">
        <v>2174</v>
      </c>
      <c r="J71" s="21"/>
      <c r="K71" s="9" t="s">
        <v>2030</v>
      </c>
      <c r="L71" s="9"/>
      <c r="M71" s="21"/>
      <c r="N71" s="171"/>
      <c r="O71" s="21"/>
      <c r="P71" s="15">
        <v>2</v>
      </c>
      <c r="Q71" s="15">
        <v>8</v>
      </c>
      <c r="R71" s="15">
        <v>80</v>
      </c>
      <c r="S71" s="10"/>
      <c r="T71" s="9"/>
      <c r="U71" s="21" t="s">
        <v>2175</v>
      </c>
      <c r="V71" s="21" t="s">
        <v>2176</v>
      </c>
      <c r="W71" s="14"/>
      <c r="X71" s="174"/>
      <c r="Y71" s="193"/>
    </row>
    <row r="72" spans="1:25" x14ac:dyDescent="0.3">
      <c r="A72" s="171"/>
      <c r="B72" s="171"/>
      <c r="C72" s="171"/>
      <c r="D72" s="16" t="s">
        <v>2036</v>
      </c>
      <c r="E72" s="25"/>
      <c r="F72" s="25"/>
      <c r="G72" s="25"/>
      <c r="H72" s="25"/>
      <c r="I72" s="30" t="s">
        <v>2177</v>
      </c>
      <c r="J72" s="21"/>
      <c r="K72" s="9" t="s">
        <v>2030</v>
      </c>
      <c r="L72" s="9"/>
      <c r="M72" s="21"/>
      <c r="N72" s="171"/>
      <c r="O72" s="21"/>
      <c r="P72" s="15">
        <v>2</v>
      </c>
      <c r="Q72" s="15">
        <v>2</v>
      </c>
      <c r="R72" s="15">
        <v>40</v>
      </c>
      <c r="S72" s="10"/>
      <c r="T72" s="9"/>
      <c r="U72" s="21" t="s">
        <v>2178</v>
      </c>
      <c r="V72" s="21" t="s">
        <v>2179</v>
      </c>
      <c r="W72" s="14"/>
      <c r="X72" s="174"/>
      <c r="Y72" s="193"/>
    </row>
    <row r="73" spans="1:25" x14ac:dyDescent="0.3">
      <c r="A73" s="171"/>
      <c r="B73" s="171"/>
      <c r="C73" s="171"/>
      <c r="D73" s="16" t="s">
        <v>2036</v>
      </c>
      <c r="E73" s="25"/>
      <c r="F73" s="25"/>
      <c r="G73" s="25"/>
      <c r="H73" s="25"/>
      <c r="I73" s="30" t="s">
        <v>2180</v>
      </c>
      <c r="J73" s="21"/>
      <c r="K73" s="9" t="s">
        <v>2030</v>
      </c>
      <c r="L73" s="9"/>
      <c r="M73" s="21"/>
      <c r="N73" s="171"/>
      <c r="O73" s="21"/>
      <c r="P73" s="15">
        <v>4</v>
      </c>
      <c r="Q73" s="15">
        <v>16</v>
      </c>
      <c r="R73" s="15">
        <v>40</v>
      </c>
      <c r="S73" s="10"/>
      <c r="T73" s="9"/>
      <c r="U73" s="21" t="s">
        <v>2181</v>
      </c>
      <c r="V73" s="21" t="s">
        <v>2182</v>
      </c>
      <c r="W73" s="14"/>
      <c r="X73" s="174"/>
      <c r="Y73" s="193"/>
    </row>
    <row r="74" spans="1:25" x14ac:dyDescent="0.3">
      <c r="A74" s="171"/>
      <c r="B74" s="172"/>
      <c r="C74" s="171"/>
      <c r="D74" s="16" t="s">
        <v>2036</v>
      </c>
      <c r="E74" s="23"/>
      <c r="F74" s="23"/>
      <c r="G74" s="23"/>
      <c r="H74" s="23"/>
      <c r="I74" s="30" t="s">
        <v>2183</v>
      </c>
      <c r="J74" s="21"/>
      <c r="K74" s="9" t="s">
        <v>2030</v>
      </c>
      <c r="L74" s="9"/>
      <c r="M74" s="21"/>
      <c r="N74" s="171"/>
      <c r="O74" s="21"/>
      <c r="P74" s="15">
        <v>8</v>
      </c>
      <c r="Q74" s="15">
        <v>48</v>
      </c>
      <c r="R74" s="15">
        <v>80</v>
      </c>
      <c r="S74" s="10"/>
      <c r="T74" s="9"/>
      <c r="U74" s="21" t="s">
        <v>2184</v>
      </c>
      <c r="V74" s="21" t="s">
        <v>2185</v>
      </c>
      <c r="W74" s="14"/>
      <c r="X74" s="175"/>
      <c r="Y74" s="194"/>
    </row>
    <row r="75" spans="1:25" x14ac:dyDescent="0.3">
      <c r="A75" s="171"/>
      <c r="B75" s="170" t="s">
        <v>2186</v>
      </c>
      <c r="C75" s="171"/>
      <c r="D75" s="20" t="s">
        <v>2041</v>
      </c>
      <c r="E75" s="20"/>
      <c r="F75" s="20"/>
      <c r="G75" s="20"/>
      <c r="H75" s="20"/>
      <c r="I75" s="15"/>
      <c r="J75" s="21"/>
      <c r="K75" s="9" t="s">
        <v>2030</v>
      </c>
      <c r="L75" s="9"/>
      <c r="M75" s="21"/>
      <c r="N75" s="171"/>
      <c r="O75" s="21"/>
      <c r="P75" s="15"/>
      <c r="Q75" s="15"/>
      <c r="R75" s="15"/>
      <c r="S75" s="10"/>
      <c r="T75" s="9"/>
      <c r="U75" s="21" t="s">
        <v>2187</v>
      </c>
      <c r="V75" s="21"/>
      <c r="W75" s="14" t="s">
        <v>2062</v>
      </c>
      <c r="X75" s="173" t="s">
        <v>2188</v>
      </c>
      <c r="Y75" s="192" t="s">
        <v>2189</v>
      </c>
    </row>
    <row r="76" spans="1:25" x14ac:dyDescent="0.3">
      <c r="A76" s="171"/>
      <c r="B76" s="171"/>
      <c r="C76" s="171"/>
      <c r="D76" s="16" t="s">
        <v>2036</v>
      </c>
      <c r="E76" s="25"/>
      <c r="F76" s="25"/>
      <c r="G76" s="25"/>
      <c r="H76" s="25"/>
      <c r="I76" s="30" t="s">
        <v>909</v>
      </c>
      <c r="J76" s="21"/>
      <c r="K76" s="9" t="s">
        <v>2030</v>
      </c>
      <c r="L76" s="9"/>
      <c r="M76" s="21"/>
      <c r="N76" s="171"/>
      <c r="O76" s="21"/>
      <c r="P76" s="15">
        <v>2</v>
      </c>
      <c r="Q76" s="15">
        <v>2</v>
      </c>
      <c r="R76" s="15">
        <v>40</v>
      </c>
      <c r="S76" s="10"/>
      <c r="T76" s="9"/>
      <c r="U76" s="21" t="s">
        <v>2190</v>
      </c>
      <c r="V76" s="21" t="s">
        <v>2191</v>
      </c>
      <c r="W76" s="14"/>
      <c r="X76" s="174"/>
      <c r="Y76" s="193"/>
    </row>
    <row r="77" spans="1:25" x14ac:dyDescent="0.3">
      <c r="A77" s="171"/>
      <c r="B77" s="171"/>
      <c r="C77" s="171"/>
      <c r="D77" s="16" t="s">
        <v>2036</v>
      </c>
      <c r="E77" s="25">
        <v>64</v>
      </c>
      <c r="F77" s="31">
        <f>SUM(P76:P80)/E77</f>
        <v>0.34375</v>
      </c>
      <c r="G77" s="25">
        <v>240</v>
      </c>
      <c r="H77" s="31">
        <f>SUM(Q76:Q80)/G77</f>
        <v>0.47499999999999998</v>
      </c>
      <c r="I77" s="30" t="s">
        <v>2192</v>
      </c>
      <c r="J77" s="21"/>
      <c r="K77" s="9" t="s">
        <v>2030</v>
      </c>
      <c r="L77" s="9"/>
      <c r="M77" s="21"/>
      <c r="N77" s="171"/>
      <c r="O77" s="21"/>
      <c r="P77" s="15">
        <v>4</v>
      </c>
      <c r="Q77" s="15">
        <v>32</v>
      </c>
      <c r="R77" s="15">
        <v>40</v>
      </c>
      <c r="S77" s="10"/>
      <c r="T77" s="9"/>
      <c r="U77" s="21" t="s">
        <v>2193</v>
      </c>
      <c r="V77" s="21" t="s">
        <v>2194</v>
      </c>
      <c r="W77" s="14"/>
      <c r="X77" s="174"/>
      <c r="Y77" s="193"/>
    </row>
    <row r="78" spans="1:25" x14ac:dyDescent="0.3">
      <c r="A78" s="171"/>
      <c r="B78" s="171"/>
      <c r="C78" s="171"/>
      <c r="D78" s="16" t="s">
        <v>2036</v>
      </c>
      <c r="E78" s="25"/>
      <c r="F78" s="25"/>
      <c r="G78" s="25"/>
      <c r="H78" s="25"/>
      <c r="I78" s="30" t="s">
        <v>2195</v>
      </c>
      <c r="J78" s="21"/>
      <c r="K78" s="9" t="s">
        <v>2030</v>
      </c>
      <c r="L78" s="9"/>
      <c r="M78" s="21"/>
      <c r="N78" s="171"/>
      <c r="O78" s="21"/>
      <c r="P78" s="15">
        <v>4</v>
      </c>
      <c r="Q78" s="15">
        <v>24</v>
      </c>
      <c r="R78" s="15">
        <v>40</v>
      </c>
      <c r="S78" s="10"/>
      <c r="T78" s="9"/>
      <c r="U78" s="21" t="s">
        <v>2196</v>
      </c>
      <c r="V78" s="21" t="s">
        <v>2197</v>
      </c>
      <c r="W78" s="14"/>
      <c r="X78" s="174"/>
      <c r="Y78" s="193"/>
    </row>
    <row r="79" spans="1:25" x14ac:dyDescent="0.3">
      <c r="A79" s="171"/>
      <c r="B79" s="171"/>
      <c r="C79" s="171"/>
      <c r="D79" s="16" t="s">
        <v>2036</v>
      </c>
      <c r="E79" s="25"/>
      <c r="F79" s="25"/>
      <c r="G79" s="25"/>
      <c r="H79" s="25"/>
      <c r="I79" s="30" t="s">
        <v>2198</v>
      </c>
      <c r="J79" s="21"/>
      <c r="K79" s="9" t="s">
        <v>2030</v>
      </c>
      <c r="L79" s="9"/>
      <c r="M79" s="21"/>
      <c r="N79" s="171"/>
      <c r="O79" s="21"/>
      <c r="P79" s="15">
        <v>4</v>
      </c>
      <c r="Q79" s="15">
        <v>8</v>
      </c>
      <c r="R79" s="15">
        <v>80</v>
      </c>
      <c r="S79" s="10"/>
      <c r="T79" s="9"/>
      <c r="U79" s="21" t="s">
        <v>2199</v>
      </c>
      <c r="V79" s="21" t="s">
        <v>2200</v>
      </c>
      <c r="W79" s="14"/>
      <c r="X79" s="174"/>
      <c r="Y79" s="193"/>
    </row>
    <row r="80" spans="1:25" x14ac:dyDescent="0.3">
      <c r="A80" s="172"/>
      <c r="B80" s="172"/>
      <c r="C80" s="172"/>
      <c r="D80" s="16" t="s">
        <v>2036</v>
      </c>
      <c r="E80" s="23"/>
      <c r="F80" s="23"/>
      <c r="G80" s="23"/>
      <c r="H80" s="23"/>
      <c r="I80" s="30" t="s">
        <v>2201</v>
      </c>
      <c r="J80" s="21"/>
      <c r="K80" s="9" t="s">
        <v>2030</v>
      </c>
      <c r="L80" s="9"/>
      <c r="M80" s="21"/>
      <c r="N80" s="171"/>
      <c r="O80" s="21"/>
      <c r="P80" s="15">
        <v>8</v>
      </c>
      <c r="Q80" s="15">
        <v>48</v>
      </c>
      <c r="R80" s="15">
        <v>80</v>
      </c>
      <c r="S80" s="10"/>
      <c r="T80" s="9"/>
      <c r="U80" s="21" t="s">
        <v>2202</v>
      </c>
      <c r="V80" s="21" t="s">
        <v>2203</v>
      </c>
      <c r="W80" s="14"/>
      <c r="X80" s="175"/>
      <c r="Y80" s="194"/>
    </row>
    <row r="81" spans="1:25" x14ac:dyDescent="0.3">
      <c r="A81" s="170" t="s">
        <v>2026</v>
      </c>
      <c r="B81" s="170" t="s">
        <v>2204</v>
      </c>
      <c r="C81" s="170" t="s">
        <v>2205</v>
      </c>
      <c r="D81" s="20" t="s">
        <v>2029</v>
      </c>
      <c r="E81" s="20"/>
      <c r="F81" s="20"/>
      <c r="G81" s="20"/>
      <c r="H81" s="20"/>
      <c r="I81" s="15"/>
      <c r="J81" s="21"/>
      <c r="K81" s="9" t="s">
        <v>2030</v>
      </c>
      <c r="L81" s="9"/>
      <c r="M81" s="21"/>
      <c r="N81" s="171"/>
      <c r="O81" s="21"/>
      <c r="P81" s="15"/>
      <c r="Q81" s="15"/>
      <c r="R81" s="15"/>
      <c r="S81" s="10"/>
      <c r="T81" s="9"/>
      <c r="U81" s="21" t="s">
        <v>2206</v>
      </c>
      <c r="V81" s="21"/>
      <c r="W81" s="14" t="s">
        <v>2033</v>
      </c>
      <c r="X81" s="173" t="s">
        <v>2207</v>
      </c>
      <c r="Y81" s="192" t="s">
        <v>2208</v>
      </c>
    </row>
    <row r="82" spans="1:25" x14ac:dyDescent="0.3">
      <c r="A82" s="171"/>
      <c r="B82" s="171"/>
      <c r="C82" s="171"/>
      <c r="D82" s="16" t="s">
        <v>2036</v>
      </c>
      <c r="E82" s="25"/>
      <c r="F82" s="25"/>
      <c r="G82" s="25"/>
      <c r="H82" s="25"/>
      <c r="I82" s="15" t="s">
        <v>2209</v>
      </c>
      <c r="J82" s="21"/>
      <c r="K82" s="9" t="s">
        <v>2030</v>
      </c>
      <c r="L82" s="9"/>
      <c r="M82" s="21"/>
      <c r="N82" s="171"/>
      <c r="O82" s="21"/>
      <c r="P82" s="15">
        <v>4</v>
      </c>
      <c r="Q82" s="15">
        <v>6</v>
      </c>
      <c r="R82" s="15">
        <v>240</v>
      </c>
      <c r="S82" s="10"/>
      <c r="T82" s="9"/>
      <c r="U82" s="21" t="s">
        <v>2210</v>
      </c>
      <c r="V82" s="21"/>
      <c r="W82" s="14"/>
      <c r="X82" s="174"/>
      <c r="Y82" s="193"/>
    </row>
    <row r="83" spans="1:25" x14ac:dyDescent="0.3">
      <c r="A83" s="171"/>
      <c r="B83" s="171"/>
      <c r="C83" s="171"/>
      <c r="D83" s="16" t="s">
        <v>2036</v>
      </c>
      <c r="E83" s="25">
        <v>24</v>
      </c>
      <c r="F83" s="31">
        <f>SUM(P82:P85)/E83</f>
        <v>0.16666666666666666</v>
      </c>
      <c r="G83" s="25">
        <v>16</v>
      </c>
      <c r="H83" s="31">
        <f>SUM(Q82:Q85)/G83</f>
        <v>0.375</v>
      </c>
      <c r="I83" s="15"/>
      <c r="J83" s="21"/>
      <c r="K83" s="9"/>
      <c r="L83" s="9"/>
      <c r="M83" s="21"/>
      <c r="N83" s="171"/>
      <c r="O83" s="21"/>
      <c r="P83" s="15"/>
      <c r="Q83" s="15"/>
      <c r="R83" s="15"/>
      <c r="S83" s="10"/>
      <c r="T83" s="9"/>
      <c r="U83" s="21"/>
      <c r="V83" s="21"/>
      <c r="W83" s="14"/>
      <c r="X83" s="174"/>
      <c r="Y83" s="193"/>
    </row>
    <row r="84" spans="1:25" x14ac:dyDescent="0.3">
      <c r="A84" s="171"/>
      <c r="B84" s="171"/>
      <c r="C84" s="171"/>
      <c r="D84" s="16" t="s">
        <v>2036</v>
      </c>
      <c r="E84" s="25"/>
      <c r="F84" s="25"/>
      <c r="G84" s="25"/>
      <c r="H84" s="25"/>
      <c r="I84" s="15"/>
      <c r="J84" s="21"/>
      <c r="K84" s="9"/>
      <c r="L84" s="9"/>
      <c r="M84" s="21"/>
      <c r="N84" s="171"/>
      <c r="O84" s="21"/>
      <c r="P84" s="15"/>
      <c r="Q84" s="15"/>
      <c r="R84" s="15"/>
      <c r="S84" s="10"/>
      <c r="T84" s="9"/>
      <c r="U84" s="21"/>
      <c r="V84" s="21"/>
      <c r="W84" s="14"/>
      <c r="X84" s="174"/>
      <c r="Y84" s="193"/>
    </row>
    <row r="85" spans="1:25" x14ac:dyDescent="0.3">
      <c r="A85" s="171"/>
      <c r="B85" s="172"/>
      <c r="C85" s="171"/>
      <c r="D85" s="16" t="s">
        <v>2036</v>
      </c>
      <c r="E85" s="23"/>
      <c r="F85" s="23"/>
      <c r="G85" s="23"/>
      <c r="H85" s="23"/>
      <c r="I85" s="15"/>
      <c r="J85" s="21"/>
      <c r="K85" s="9"/>
      <c r="L85" s="9"/>
      <c r="M85" s="21"/>
      <c r="N85" s="171"/>
      <c r="O85" s="21"/>
      <c r="P85" s="15"/>
      <c r="Q85" s="15"/>
      <c r="R85" s="15"/>
      <c r="S85" s="10"/>
      <c r="T85" s="9"/>
      <c r="U85" s="21"/>
      <c r="V85" s="21"/>
      <c r="W85" s="14"/>
      <c r="X85" s="175"/>
      <c r="Y85" s="194"/>
    </row>
    <row r="86" spans="1:25" x14ac:dyDescent="0.3">
      <c r="A86" s="171"/>
      <c r="B86" s="170" t="s">
        <v>2211</v>
      </c>
      <c r="C86" s="171"/>
      <c r="D86" s="20" t="s">
        <v>2041</v>
      </c>
      <c r="E86" s="20"/>
      <c r="F86" s="20"/>
      <c r="G86" s="20"/>
      <c r="H86" s="20"/>
      <c r="I86" s="15"/>
      <c r="J86" s="21"/>
      <c r="K86" s="9" t="s">
        <v>2030</v>
      </c>
      <c r="L86" s="9"/>
      <c r="M86" s="21"/>
      <c r="N86" s="171"/>
      <c r="O86" s="21"/>
      <c r="P86" s="15"/>
      <c r="Q86" s="15"/>
      <c r="R86" s="15"/>
      <c r="S86" s="10"/>
      <c r="T86" s="9"/>
      <c r="U86" s="21" t="s">
        <v>2212</v>
      </c>
      <c r="V86" s="21"/>
      <c r="W86" s="14" t="s">
        <v>2033</v>
      </c>
      <c r="X86" s="173" t="s">
        <v>2213</v>
      </c>
      <c r="Y86" s="192" t="s">
        <v>2214</v>
      </c>
    </row>
    <row r="87" spans="1:25" x14ac:dyDescent="0.3">
      <c r="A87" s="171"/>
      <c r="B87" s="171"/>
      <c r="C87" s="171"/>
      <c r="D87" s="16" t="s">
        <v>2036</v>
      </c>
      <c r="E87" s="25"/>
      <c r="F87" s="25"/>
      <c r="G87" s="25"/>
      <c r="H87" s="25"/>
      <c r="I87" s="15" t="s">
        <v>2215</v>
      </c>
      <c r="J87" s="21"/>
      <c r="K87" s="9"/>
      <c r="L87" s="9"/>
      <c r="M87" s="21"/>
      <c r="N87" s="171"/>
      <c r="O87" s="21"/>
      <c r="P87" s="15">
        <v>2</v>
      </c>
      <c r="Q87" s="15">
        <v>2</v>
      </c>
      <c r="R87" s="15">
        <v>40</v>
      </c>
      <c r="S87" s="10"/>
      <c r="T87" s="9"/>
      <c r="U87" s="21" t="s">
        <v>2216</v>
      </c>
      <c r="V87" s="21"/>
      <c r="W87" s="14"/>
      <c r="X87" s="174"/>
      <c r="Y87" s="193"/>
    </row>
    <row r="88" spans="1:25" x14ac:dyDescent="0.3">
      <c r="A88" s="171"/>
      <c r="B88" s="171"/>
      <c r="C88" s="171"/>
      <c r="D88" s="16" t="s">
        <v>2036</v>
      </c>
      <c r="E88" s="25">
        <v>24</v>
      </c>
      <c r="F88" s="31">
        <f>SUM(P87:P90)/E88</f>
        <v>8.3333333333333329E-2</v>
      </c>
      <c r="G88" s="25">
        <v>16</v>
      </c>
      <c r="H88" s="31">
        <f>SUM(Q87:Q90)/G88</f>
        <v>0.125</v>
      </c>
      <c r="I88" s="15"/>
      <c r="J88" s="21"/>
      <c r="K88" s="9"/>
      <c r="L88" s="9"/>
      <c r="M88" s="21"/>
      <c r="N88" s="171"/>
      <c r="O88" s="21"/>
      <c r="P88" s="15"/>
      <c r="Q88" s="15"/>
      <c r="R88" s="15"/>
      <c r="S88" s="10"/>
      <c r="T88" s="9"/>
      <c r="U88" s="21"/>
      <c r="V88" s="21"/>
      <c r="W88" s="14"/>
      <c r="X88" s="174"/>
      <c r="Y88" s="193"/>
    </row>
    <row r="89" spans="1:25" x14ac:dyDescent="0.3">
      <c r="A89" s="171"/>
      <c r="B89" s="171"/>
      <c r="C89" s="171"/>
      <c r="D89" s="16" t="s">
        <v>2036</v>
      </c>
      <c r="E89" s="25"/>
      <c r="F89" s="25"/>
      <c r="G89" s="25"/>
      <c r="H89" s="25"/>
      <c r="I89" s="15"/>
      <c r="J89" s="21"/>
      <c r="K89" s="9"/>
      <c r="L89" s="9"/>
      <c r="M89" s="21"/>
      <c r="N89" s="171"/>
      <c r="O89" s="21"/>
      <c r="P89" s="15"/>
      <c r="Q89" s="15"/>
      <c r="R89" s="15"/>
      <c r="S89" s="10"/>
      <c r="T89" s="9"/>
      <c r="U89" s="21"/>
      <c r="V89" s="21"/>
      <c r="W89" s="14"/>
      <c r="X89" s="174"/>
      <c r="Y89" s="193"/>
    </row>
    <row r="90" spans="1:25" x14ac:dyDescent="0.3">
      <c r="A90" s="171"/>
      <c r="B90" s="172"/>
      <c r="C90" s="171"/>
      <c r="D90" s="16" t="s">
        <v>2036</v>
      </c>
      <c r="E90" s="23"/>
      <c r="F90" s="23"/>
      <c r="G90" s="23"/>
      <c r="H90" s="23"/>
      <c r="I90" s="15"/>
      <c r="J90" s="21"/>
      <c r="K90" s="9"/>
      <c r="L90" s="9"/>
      <c r="M90" s="21"/>
      <c r="N90" s="171"/>
      <c r="O90" s="21"/>
      <c r="P90" s="15"/>
      <c r="Q90" s="15"/>
      <c r="R90" s="15"/>
      <c r="S90" s="10"/>
      <c r="T90" s="9"/>
      <c r="U90" s="21"/>
      <c r="V90" s="21"/>
      <c r="W90" s="14"/>
      <c r="X90" s="175"/>
      <c r="Y90" s="194"/>
    </row>
    <row r="91" spans="1:25" x14ac:dyDescent="0.3">
      <c r="A91" s="171"/>
      <c r="B91" s="170" t="s">
        <v>2217</v>
      </c>
      <c r="C91" s="171"/>
      <c r="D91" s="20" t="s">
        <v>2041</v>
      </c>
      <c r="E91" s="20"/>
      <c r="F91" s="20"/>
      <c r="G91" s="20"/>
      <c r="H91" s="20"/>
      <c r="I91" s="15"/>
      <c r="J91" s="21"/>
      <c r="K91" s="9" t="s">
        <v>2030</v>
      </c>
      <c r="L91" s="9"/>
      <c r="M91" s="21"/>
      <c r="N91" s="171"/>
      <c r="O91" s="21"/>
      <c r="P91" s="15"/>
      <c r="Q91" s="15"/>
      <c r="R91" s="15"/>
      <c r="S91" s="10"/>
      <c r="T91" s="9"/>
      <c r="U91" s="21" t="s">
        <v>2218</v>
      </c>
      <c r="V91" s="21"/>
      <c r="W91" s="14" t="s">
        <v>2219</v>
      </c>
      <c r="X91" s="173" t="s">
        <v>2220</v>
      </c>
      <c r="Y91" s="192" t="s">
        <v>2221</v>
      </c>
    </row>
    <row r="92" spans="1:25" x14ac:dyDescent="0.3">
      <c r="A92" s="171"/>
      <c r="B92" s="171"/>
      <c r="C92" s="171"/>
      <c r="D92" s="16" t="s">
        <v>2036</v>
      </c>
      <c r="E92" s="25"/>
      <c r="F92" s="25"/>
      <c r="G92" s="25"/>
      <c r="H92" s="25"/>
      <c r="I92" s="15" t="s">
        <v>2222</v>
      </c>
      <c r="J92" s="21"/>
      <c r="K92" s="9" t="s">
        <v>2030</v>
      </c>
      <c r="L92" s="9"/>
      <c r="M92" s="21"/>
      <c r="N92" s="171"/>
      <c r="O92" s="21"/>
      <c r="P92" s="15">
        <v>1</v>
      </c>
      <c r="Q92" s="15">
        <v>4</v>
      </c>
      <c r="R92" s="15">
        <v>20</v>
      </c>
      <c r="S92" s="10"/>
      <c r="T92" s="9"/>
      <c r="U92" s="21" t="s">
        <v>2223</v>
      </c>
      <c r="V92" s="21"/>
      <c r="W92" s="14"/>
      <c r="X92" s="174"/>
      <c r="Y92" s="193"/>
    </row>
    <row r="93" spans="1:25" x14ac:dyDescent="0.3">
      <c r="A93" s="171"/>
      <c r="B93" s="171"/>
      <c r="C93" s="171"/>
      <c r="D93" s="16" t="s">
        <v>2036</v>
      </c>
      <c r="E93" s="25">
        <v>24</v>
      </c>
      <c r="F93" s="31">
        <f>SUM(P92:P95)/E93</f>
        <v>4.1666666666666664E-2</v>
      </c>
      <c r="G93" s="25">
        <v>16</v>
      </c>
      <c r="H93" s="31">
        <f>SUM(Q92:Q95)/G93</f>
        <v>0.25</v>
      </c>
      <c r="I93" s="15"/>
      <c r="J93" s="21"/>
      <c r="K93" s="9"/>
      <c r="L93" s="9"/>
      <c r="M93" s="21"/>
      <c r="N93" s="171"/>
      <c r="O93" s="21"/>
      <c r="P93" s="15"/>
      <c r="Q93" s="15"/>
      <c r="R93" s="15"/>
      <c r="S93" s="10"/>
      <c r="T93" s="9"/>
      <c r="U93" s="21"/>
      <c r="V93" s="21"/>
      <c r="W93" s="14"/>
      <c r="X93" s="174"/>
      <c r="Y93" s="193"/>
    </row>
    <row r="94" spans="1:25" x14ac:dyDescent="0.3">
      <c r="A94" s="171"/>
      <c r="B94" s="171"/>
      <c r="C94" s="171"/>
      <c r="D94" s="16" t="s">
        <v>2036</v>
      </c>
      <c r="E94" s="25"/>
      <c r="F94" s="25"/>
      <c r="G94" s="25"/>
      <c r="H94" s="25"/>
      <c r="I94" s="15"/>
      <c r="J94" s="21"/>
      <c r="K94" s="9"/>
      <c r="L94" s="9"/>
      <c r="M94" s="21"/>
      <c r="N94" s="171"/>
      <c r="O94" s="21"/>
      <c r="P94" s="15"/>
      <c r="Q94" s="15"/>
      <c r="R94" s="15"/>
      <c r="S94" s="10"/>
      <c r="T94" s="9"/>
      <c r="U94" s="21"/>
      <c r="V94" s="21"/>
      <c r="W94" s="14"/>
      <c r="X94" s="174"/>
      <c r="Y94" s="193"/>
    </row>
    <row r="95" spans="1:25" x14ac:dyDescent="0.3">
      <c r="A95" s="171"/>
      <c r="B95" s="172"/>
      <c r="C95" s="171"/>
      <c r="D95" s="16" t="s">
        <v>2036</v>
      </c>
      <c r="E95" s="23"/>
      <c r="F95" s="23"/>
      <c r="G95" s="23"/>
      <c r="H95" s="23"/>
      <c r="I95" s="15"/>
      <c r="J95" s="21"/>
      <c r="K95" s="9"/>
      <c r="L95" s="9"/>
      <c r="M95" s="21"/>
      <c r="N95" s="171"/>
      <c r="O95" s="21"/>
      <c r="P95" s="15"/>
      <c r="Q95" s="15"/>
      <c r="R95" s="15"/>
      <c r="S95" s="10"/>
      <c r="T95" s="9"/>
      <c r="U95" s="21"/>
      <c r="V95" s="21"/>
      <c r="W95" s="14"/>
      <c r="X95" s="175"/>
      <c r="Y95" s="194"/>
    </row>
    <row r="96" spans="1:25" x14ac:dyDescent="0.3">
      <c r="A96" s="171"/>
      <c r="B96" s="170" t="s">
        <v>2224</v>
      </c>
      <c r="C96" s="171"/>
      <c r="D96" s="20" t="s">
        <v>2041</v>
      </c>
      <c r="E96" s="20"/>
      <c r="F96" s="20"/>
      <c r="G96" s="20"/>
      <c r="H96" s="20"/>
      <c r="I96" s="15"/>
      <c r="J96" s="21"/>
      <c r="K96" s="9" t="s">
        <v>2030</v>
      </c>
      <c r="L96" s="9"/>
      <c r="M96" s="21"/>
      <c r="N96" s="171"/>
      <c r="O96" s="21"/>
      <c r="P96" s="15"/>
      <c r="Q96" s="15"/>
      <c r="R96" s="15"/>
      <c r="S96" s="10"/>
      <c r="T96" s="9"/>
      <c r="U96" s="21" t="s">
        <v>2225</v>
      </c>
      <c r="V96" s="21"/>
      <c r="W96" s="14" t="s">
        <v>2219</v>
      </c>
      <c r="X96" s="173" t="s">
        <v>2226</v>
      </c>
      <c r="Y96" s="192" t="s">
        <v>2227</v>
      </c>
    </row>
    <row r="97" spans="1:25" x14ac:dyDescent="0.3">
      <c r="A97" s="171"/>
      <c r="B97" s="171"/>
      <c r="C97" s="171"/>
      <c r="D97" s="16" t="s">
        <v>2036</v>
      </c>
      <c r="E97" s="25"/>
      <c r="F97" s="25"/>
      <c r="G97" s="25"/>
      <c r="H97" s="25"/>
      <c r="I97" s="15" t="s">
        <v>2228</v>
      </c>
      <c r="J97" s="21"/>
      <c r="K97" s="9" t="s">
        <v>2030</v>
      </c>
      <c r="L97" s="9"/>
      <c r="M97" s="21"/>
      <c r="N97" s="171"/>
      <c r="O97" s="21"/>
      <c r="P97" s="15">
        <v>4</v>
      </c>
      <c r="Q97" s="15">
        <v>6</v>
      </c>
      <c r="R97" s="15">
        <v>240</v>
      </c>
      <c r="S97" s="10"/>
      <c r="T97" s="9"/>
      <c r="U97" s="21" t="s">
        <v>2229</v>
      </c>
      <c r="V97" s="21"/>
      <c r="W97" s="14"/>
      <c r="X97" s="174"/>
      <c r="Y97" s="193"/>
    </row>
    <row r="98" spans="1:25" x14ac:dyDescent="0.3">
      <c r="A98" s="171"/>
      <c r="B98" s="171"/>
      <c r="C98" s="171"/>
      <c r="D98" s="16" t="s">
        <v>2036</v>
      </c>
      <c r="E98" s="25">
        <v>24</v>
      </c>
      <c r="F98" s="31">
        <f>SUM(P97:P100)/E98</f>
        <v>0.16666666666666666</v>
      </c>
      <c r="G98" s="25">
        <v>16</v>
      </c>
      <c r="H98" s="31">
        <f>SUM(Q97:Q100)/G98</f>
        <v>0.375</v>
      </c>
      <c r="I98" s="15"/>
      <c r="J98" s="21"/>
      <c r="K98" s="9"/>
      <c r="L98" s="9"/>
      <c r="M98" s="21"/>
      <c r="N98" s="171"/>
      <c r="O98" s="21"/>
      <c r="P98" s="15"/>
      <c r="Q98" s="15"/>
      <c r="R98" s="15"/>
      <c r="S98" s="10"/>
      <c r="T98" s="9"/>
      <c r="U98" s="21"/>
      <c r="V98" s="21"/>
      <c r="W98" s="14"/>
      <c r="X98" s="174"/>
      <c r="Y98" s="193"/>
    </row>
    <row r="99" spans="1:25" x14ac:dyDescent="0.3">
      <c r="A99" s="171"/>
      <c r="B99" s="171"/>
      <c r="C99" s="171"/>
      <c r="D99" s="16" t="s">
        <v>2036</v>
      </c>
      <c r="E99" s="25"/>
      <c r="F99" s="25"/>
      <c r="G99" s="25"/>
      <c r="H99" s="25"/>
      <c r="I99" s="15"/>
      <c r="J99" s="21"/>
      <c r="K99" s="9"/>
      <c r="L99" s="9"/>
      <c r="M99" s="21"/>
      <c r="N99" s="171"/>
      <c r="O99" s="21"/>
      <c r="P99" s="15"/>
      <c r="Q99" s="15"/>
      <c r="R99" s="15"/>
      <c r="S99" s="10"/>
      <c r="T99" s="9"/>
      <c r="U99" s="21"/>
      <c r="V99" s="21"/>
      <c r="W99" s="14"/>
      <c r="X99" s="174"/>
      <c r="Y99" s="193"/>
    </row>
    <row r="100" spans="1:25" x14ac:dyDescent="0.3">
      <c r="A100" s="172"/>
      <c r="B100" s="172"/>
      <c r="C100" s="172"/>
      <c r="D100" s="16" t="s">
        <v>2036</v>
      </c>
      <c r="E100" s="23"/>
      <c r="F100" s="23"/>
      <c r="G100" s="23"/>
      <c r="H100" s="23"/>
      <c r="I100" s="15"/>
      <c r="J100" s="21"/>
      <c r="K100" s="9"/>
      <c r="L100" s="9"/>
      <c r="M100" s="21"/>
      <c r="N100" s="172"/>
      <c r="O100" s="21"/>
      <c r="P100" s="15"/>
      <c r="Q100" s="15"/>
      <c r="R100" s="15"/>
      <c r="S100" s="10"/>
      <c r="T100" s="9"/>
      <c r="U100" s="21"/>
      <c r="V100" s="21"/>
      <c r="W100" s="14"/>
      <c r="X100" s="175"/>
      <c r="Y100" s="194"/>
    </row>
    <row r="101" spans="1:25" x14ac:dyDescent="0.3">
      <c r="A101" s="170" t="s">
        <v>2026</v>
      </c>
      <c r="B101" s="170" t="s">
        <v>2230</v>
      </c>
      <c r="C101" s="170" t="s">
        <v>2231</v>
      </c>
      <c r="D101" s="20" t="s">
        <v>2029</v>
      </c>
      <c r="E101" s="20"/>
      <c r="F101" s="20"/>
      <c r="G101" s="20"/>
      <c r="H101" s="20"/>
      <c r="I101" s="15"/>
      <c r="J101" s="21"/>
      <c r="K101" s="9" t="s">
        <v>2030</v>
      </c>
      <c r="L101" s="9"/>
      <c r="M101" s="21"/>
      <c r="N101" s="170" t="s">
        <v>2061</v>
      </c>
      <c r="O101" s="21"/>
      <c r="P101" s="15"/>
      <c r="Q101" s="15"/>
      <c r="R101" s="15"/>
      <c r="S101" s="10"/>
      <c r="T101" s="9"/>
      <c r="U101" s="21" t="s">
        <v>2232</v>
      </c>
      <c r="V101" s="21"/>
      <c r="W101" s="14" t="s">
        <v>2033</v>
      </c>
      <c r="X101" s="173" t="s">
        <v>2233</v>
      </c>
      <c r="Y101" s="192" t="s">
        <v>2234</v>
      </c>
    </row>
    <row r="102" spans="1:25" x14ac:dyDescent="0.3">
      <c r="A102" s="171"/>
      <c r="B102" s="171"/>
      <c r="C102" s="171"/>
      <c r="D102" s="16" t="s">
        <v>2036</v>
      </c>
      <c r="E102" s="25">
        <v>24</v>
      </c>
      <c r="F102" s="31">
        <f>SUM(P102:P104)/E102</f>
        <v>0.16666666666666666</v>
      </c>
      <c r="G102" s="25">
        <v>96</v>
      </c>
      <c r="H102" s="31">
        <f>SUM(Q102:Q104)/G102</f>
        <v>0.16666666666666666</v>
      </c>
      <c r="I102" s="30" t="s">
        <v>2235</v>
      </c>
      <c r="J102" s="21"/>
      <c r="K102" s="9" t="s">
        <v>2030</v>
      </c>
      <c r="L102" s="9"/>
      <c r="M102" s="21"/>
      <c r="N102" s="171"/>
      <c r="O102" s="21"/>
      <c r="P102" s="15">
        <v>4</v>
      </c>
      <c r="Q102" s="15">
        <v>16</v>
      </c>
      <c r="R102" s="15">
        <v>40</v>
      </c>
      <c r="S102" s="10"/>
      <c r="T102" s="9"/>
      <c r="U102" s="21" t="s">
        <v>2236</v>
      </c>
      <c r="V102" s="21"/>
      <c r="W102" s="14"/>
      <c r="X102" s="174"/>
      <c r="Y102" s="193"/>
    </row>
    <row r="103" spans="1:25" x14ac:dyDescent="0.3">
      <c r="A103" s="171"/>
      <c r="B103" s="171"/>
      <c r="C103" s="171"/>
      <c r="D103" s="16" t="s">
        <v>2036</v>
      </c>
      <c r="E103" s="25"/>
      <c r="F103" s="25"/>
      <c r="G103" s="25"/>
      <c r="H103" s="25"/>
      <c r="I103" s="30"/>
      <c r="J103" s="21"/>
      <c r="K103" s="9"/>
      <c r="L103" s="9"/>
      <c r="M103" s="21"/>
      <c r="N103" s="171"/>
      <c r="O103" s="21"/>
      <c r="P103" s="15"/>
      <c r="Q103" s="15"/>
      <c r="R103" s="15"/>
      <c r="S103" s="10"/>
      <c r="T103" s="9"/>
      <c r="U103" s="21" t="s">
        <v>2237</v>
      </c>
      <c r="V103" s="21" t="s">
        <v>2238</v>
      </c>
      <c r="W103" s="14"/>
      <c r="X103" s="174"/>
      <c r="Y103" s="193"/>
    </row>
    <row r="104" spans="1:25" x14ac:dyDescent="0.3">
      <c r="A104" s="171"/>
      <c r="B104" s="172"/>
      <c r="C104" s="171"/>
      <c r="D104" s="16" t="s">
        <v>2036</v>
      </c>
      <c r="E104" s="23"/>
      <c r="F104" s="23"/>
      <c r="G104" s="23"/>
      <c r="H104" s="23"/>
      <c r="I104" s="15"/>
      <c r="J104" s="21"/>
      <c r="K104" s="9"/>
      <c r="L104" s="9"/>
      <c r="M104" s="21"/>
      <c r="N104" s="171"/>
      <c r="O104" s="21"/>
      <c r="P104" s="15"/>
      <c r="Q104" s="15"/>
      <c r="R104" s="15"/>
      <c r="S104" s="10"/>
      <c r="T104" s="9"/>
      <c r="U104" s="21"/>
      <c r="V104" s="21" t="s">
        <v>2239</v>
      </c>
      <c r="W104" s="14"/>
      <c r="X104" s="175"/>
      <c r="Y104" s="194"/>
    </row>
    <row r="105" spans="1:25" x14ac:dyDescent="0.3">
      <c r="A105" s="171"/>
      <c r="B105" s="176" t="s">
        <v>2240</v>
      </c>
      <c r="C105" s="171"/>
      <c r="D105" s="20" t="s">
        <v>2041</v>
      </c>
      <c r="E105" s="20"/>
      <c r="F105" s="20"/>
      <c r="G105" s="25"/>
      <c r="H105" s="20"/>
      <c r="I105" s="15"/>
      <c r="J105" s="21"/>
      <c r="K105" s="9" t="s">
        <v>2030</v>
      </c>
      <c r="L105" s="9"/>
      <c r="M105" s="21"/>
      <c r="N105" s="171"/>
      <c r="O105" s="21"/>
      <c r="P105" s="15"/>
      <c r="Q105" s="15"/>
      <c r="R105" s="15"/>
      <c r="S105" s="10"/>
      <c r="T105" s="9"/>
      <c r="U105" s="21" t="s">
        <v>2241</v>
      </c>
      <c r="V105" s="21"/>
      <c r="W105" s="14" t="s">
        <v>2033</v>
      </c>
      <c r="X105" s="173" t="s">
        <v>2242</v>
      </c>
      <c r="Y105" s="192" t="s">
        <v>2243</v>
      </c>
    </row>
    <row r="106" spans="1:25" x14ac:dyDescent="0.3">
      <c r="A106" s="171"/>
      <c r="B106" s="177"/>
      <c r="C106" s="171"/>
      <c r="D106" s="16" t="s">
        <v>2036</v>
      </c>
      <c r="E106" s="25"/>
      <c r="F106" s="25"/>
      <c r="G106" s="25"/>
      <c r="H106" s="25"/>
      <c r="I106" s="15"/>
      <c r="J106" s="21"/>
      <c r="K106" s="9"/>
      <c r="L106" s="9"/>
      <c r="M106" s="21"/>
      <c r="N106" s="171"/>
      <c r="O106" s="21"/>
      <c r="P106" s="15"/>
      <c r="Q106" s="15"/>
      <c r="R106" s="15"/>
      <c r="S106" s="10"/>
      <c r="T106" s="9"/>
      <c r="U106" s="21"/>
      <c r="V106" s="21" t="s">
        <v>2244</v>
      </c>
      <c r="W106" s="21"/>
      <c r="X106" s="174"/>
      <c r="Y106" s="193"/>
    </row>
    <row r="107" spans="1:25" x14ac:dyDescent="0.3">
      <c r="A107" s="171"/>
      <c r="B107" s="177"/>
      <c r="C107" s="171"/>
      <c r="D107" s="16" t="s">
        <v>2036</v>
      </c>
      <c r="E107" s="25">
        <v>24</v>
      </c>
      <c r="F107" s="31">
        <f>SUM(P106:P109)/E107</f>
        <v>0.16666666666666666</v>
      </c>
      <c r="G107" s="25">
        <v>96</v>
      </c>
      <c r="H107" s="31">
        <f>SUM(Q106:Q109)/G107</f>
        <v>4.1666666666666664E-2</v>
      </c>
      <c r="I107" s="30" t="s">
        <v>2245</v>
      </c>
      <c r="J107" s="21"/>
      <c r="K107" s="9" t="s">
        <v>2030</v>
      </c>
      <c r="L107" s="9"/>
      <c r="M107" s="21"/>
      <c r="N107" s="171"/>
      <c r="O107" s="21"/>
      <c r="P107" s="15">
        <v>4</v>
      </c>
      <c r="Q107" s="15">
        <v>4</v>
      </c>
      <c r="R107" s="15">
        <v>40</v>
      </c>
      <c r="S107" s="10"/>
      <c r="T107" s="9"/>
      <c r="U107" s="21"/>
      <c r="V107" s="21" t="s">
        <v>2246</v>
      </c>
      <c r="W107" s="21"/>
      <c r="X107" s="174"/>
      <c r="Y107" s="193"/>
    </row>
    <row r="108" spans="1:25" x14ac:dyDescent="0.3">
      <c r="A108" s="171"/>
      <c r="B108" s="177"/>
      <c r="C108" s="171"/>
      <c r="D108" s="16" t="s">
        <v>2036</v>
      </c>
      <c r="E108" s="25"/>
      <c r="F108" s="25"/>
      <c r="G108" s="25"/>
      <c r="H108" s="25"/>
      <c r="I108" s="15"/>
      <c r="J108" s="21"/>
      <c r="K108" s="9"/>
      <c r="L108" s="9"/>
      <c r="M108" s="21"/>
      <c r="N108" s="171"/>
      <c r="O108" s="21"/>
      <c r="P108" s="15"/>
      <c r="Q108" s="15"/>
      <c r="R108" s="15"/>
      <c r="S108" s="10"/>
      <c r="T108" s="9"/>
      <c r="U108" s="21"/>
      <c r="V108" s="21"/>
      <c r="W108" s="21"/>
      <c r="X108" s="174"/>
      <c r="Y108" s="193"/>
    </row>
    <row r="109" spans="1:25" x14ac:dyDescent="0.3">
      <c r="A109" s="171"/>
      <c r="B109" s="178"/>
      <c r="C109" s="171"/>
      <c r="D109" s="16" t="s">
        <v>2036</v>
      </c>
      <c r="E109" s="23"/>
      <c r="F109" s="23"/>
      <c r="G109" s="25"/>
      <c r="H109" s="23"/>
      <c r="I109" s="15"/>
      <c r="J109" s="21"/>
      <c r="K109" s="9"/>
      <c r="L109" s="9"/>
      <c r="M109" s="21"/>
      <c r="N109" s="171"/>
      <c r="O109" s="21"/>
      <c r="P109" s="15"/>
      <c r="Q109" s="15"/>
      <c r="R109" s="15"/>
      <c r="S109" s="10"/>
      <c r="T109" s="9"/>
      <c r="U109" s="21"/>
      <c r="V109" s="21"/>
      <c r="W109" s="21"/>
      <c r="X109" s="175"/>
      <c r="Y109" s="194"/>
    </row>
    <row r="110" spans="1:25" x14ac:dyDescent="0.3">
      <c r="A110" s="171"/>
      <c r="B110" s="170" t="s">
        <v>2247</v>
      </c>
      <c r="C110" s="171"/>
      <c r="D110" s="20" t="s">
        <v>2041</v>
      </c>
      <c r="E110" s="25"/>
      <c r="F110" s="20"/>
      <c r="G110" s="20"/>
      <c r="H110" s="20"/>
      <c r="I110" s="15"/>
      <c r="J110" s="21"/>
      <c r="K110" s="9" t="s">
        <v>2030</v>
      </c>
      <c r="L110" s="9"/>
      <c r="M110" s="21"/>
      <c r="N110" s="171"/>
      <c r="O110" s="21"/>
      <c r="P110" s="15"/>
      <c r="Q110" s="15"/>
      <c r="R110" s="15"/>
      <c r="S110" s="10"/>
      <c r="T110" s="9"/>
      <c r="U110" s="21" t="s">
        <v>2248</v>
      </c>
      <c r="V110" s="21"/>
      <c r="W110" s="14" t="s">
        <v>2219</v>
      </c>
      <c r="X110" s="173" t="s">
        <v>2249</v>
      </c>
      <c r="Y110" s="192" t="s">
        <v>2250</v>
      </c>
    </row>
    <row r="111" spans="1:25" x14ac:dyDescent="0.3">
      <c r="A111" s="171"/>
      <c r="B111" s="171"/>
      <c r="C111" s="171"/>
      <c r="D111" s="16" t="s">
        <v>2036</v>
      </c>
      <c r="E111" s="25"/>
      <c r="F111" s="25"/>
      <c r="G111" s="25"/>
      <c r="H111" s="25"/>
      <c r="I111" s="30" t="s">
        <v>2251</v>
      </c>
      <c r="J111" s="21"/>
      <c r="K111" s="9"/>
      <c r="L111" s="9"/>
      <c r="M111" s="21"/>
      <c r="N111" s="171"/>
      <c r="O111" s="21"/>
      <c r="P111" s="15">
        <v>4</v>
      </c>
      <c r="Q111" s="15">
        <v>8</v>
      </c>
      <c r="R111" s="15">
        <v>40</v>
      </c>
      <c r="S111" s="10"/>
      <c r="T111" s="9"/>
      <c r="U111" s="21" t="s">
        <v>2252</v>
      </c>
      <c r="V111" s="21" t="s">
        <v>2253</v>
      </c>
      <c r="W111" s="21"/>
      <c r="X111" s="174"/>
      <c r="Y111" s="193"/>
    </row>
    <row r="112" spans="1:25" x14ac:dyDescent="0.3">
      <c r="A112" s="171"/>
      <c r="B112" s="171"/>
      <c r="C112" s="171"/>
      <c r="D112" s="16" t="s">
        <v>2036</v>
      </c>
      <c r="E112" s="25">
        <v>24</v>
      </c>
      <c r="F112" s="31">
        <f>SUM(P111:P115)/E112</f>
        <v>0.83333333333333337</v>
      </c>
      <c r="G112" s="25">
        <v>96</v>
      </c>
      <c r="H112" s="31">
        <f>SUM(Q111:Q115)/G112</f>
        <v>0.66666666666666663</v>
      </c>
      <c r="I112" s="30" t="s">
        <v>2254</v>
      </c>
      <c r="J112" s="21"/>
      <c r="K112" s="9" t="s">
        <v>2030</v>
      </c>
      <c r="L112" s="9"/>
      <c r="M112" s="21"/>
      <c r="N112" s="171"/>
      <c r="O112" s="21"/>
      <c r="P112" s="15">
        <v>4</v>
      </c>
      <c r="Q112" s="15">
        <v>16</v>
      </c>
      <c r="R112" s="15">
        <v>40</v>
      </c>
      <c r="S112" s="10"/>
      <c r="T112" s="9"/>
      <c r="U112" s="21" t="s">
        <v>2255</v>
      </c>
      <c r="V112" s="21" t="s">
        <v>2256</v>
      </c>
      <c r="W112" s="21"/>
      <c r="X112" s="174"/>
      <c r="Y112" s="193"/>
    </row>
    <row r="113" spans="1:25" x14ac:dyDescent="0.3">
      <c r="A113" s="171"/>
      <c r="B113" s="171"/>
      <c r="C113" s="171"/>
      <c r="D113" s="16" t="s">
        <v>2036</v>
      </c>
      <c r="E113" s="25"/>
      <c r="F113" s="31"/>
      <c r="G113" s="25"/>
      <c r="H113" s="31"/>
      <c r="I113" s="30" t="s">
        <v>2257</v>
      </c>
      <c r="J113" s="21"/>
      <c r="K113" s="9" t="s">
        <v>2030</v>
      </c>
      <c r="L113" s="9"/>
      <c r="M113" s="21"/>
      <c r="N113" s="171"/>
      <c r="O113" s="21"/>
      <c r="P113" s="15">
        <v>4</v>
      </c>
      <c r="Q113" s="15">
        <v>16</v>
      </c>
      <c r="R113" s="15">
        <v>40</v>
      </c>
      <c r="S113" s="10"/>
      <c r="T113" s="9"/>
      <c r="U113" s="21" t="s">
        <v>2258</v>
      </c>
      <c r="V113" s="21" t="s">
        <v>2259</v>
      </c>
      <c r="W113" s="21"/>
      <c r="X113" s="174"/>
      <c r="Y113" s="193"/>
    </row>
    <row r="114" spans="1:25" x14ac:dyDescent="0.3">
      <c r="A114" s="171"/>
      <c r="B114" s="171"/>
      <c r="C114" s="171"/>
      <c r="D114" s="16" t="s">
        <v>2036</v>
      </c>
      <c r="E114" s="25"/>
      <c r="F114" s="25"/>
      <c r="G114" s="25"/>
      <c r="H114" s="25"/>
      <c r="I114" s="30" t="s">
        <v>2260</v>
      </c>
      <c r="J114" s="21"/>
      <c r="K114" s="9" t="s">
        <v>2030</v>
      </c>
      <c r="L114" s="9"/>
      <c r="M114" s="21"/>
      <c r="N114" s="171"/>
      <c r="O114" s="21"/>
      <c r="P114" s="15">
        <v>4</v>
      </c>
      <c r="Q114" s="15">
        <v>16</v>
      </c>
      <c r="R114" s="15">
        <v>40</v>
      </c>
      <c r="S114" s="10"/>
      <c r="T114" s="9"/>
      <c r="U114" s="21" t="s">
        <v>2261</v>
      </c>
      <c r="V114" s="21" t="s">
        <v>2262</v>
      </c>
      <c r="W114" s="21"/>
      <c r="X114" s="174"/>
      <c r="Y114" s="193"/>
    </row>
    <row r="115" spans="1:25" x14ac:dyDescent="0.3">
      <c r="A115" s="171"/>
      <c r="B115" s="172"/>
      <c r="C115" s="171"/>
      <c r="D115" s="16" t="s">
        <v>2036</v>
      </c>
      <c r="E115" s="25"/>
      <c r="F115" s="23"/>
      <c r="G115" s="25"/>
      <c r="H115" s="23"/>
      <c r="I115" s="30" t="s">
        <v>2263</v>
      </c>
      <c r="J115" s="21"/>
      <c r="K115" s="9" t="s">
        <v>2030</v>
      </c>
      <c r="L115" s="9"/>
      <c r="M115" s="21"/>
      <c r="N115" s="171"/>
      <c r="O115" s="21"/>
      <c r="P115" s="15">
        <v>4</v>
      </c>
      <c r="Q115" s="15">
        <v>8</v>
      </c>
      <c r="R115" s="15">
        <v>40</v>
      </c>
      <c r="S115" s="10"/>
      <c r="T115" s="9"/>
      <c r="U115" s="21" t="s">
        <v>2264</v>
      </c>
      <c r="V115" s="21" t="s">
        <v>2265</v>
      </c>
      <c r="W115" s="21"/>
      <c r="X115" s="175"/>
      <c r="Y115" s="194"/>
    </row>
    <row r="116" spans="1:25" x14ac:dyDescent="0.3">
      <c r="A116" s="171"/>
      <c r="B116" s="170" t="s">
        <v>2266</v>
      </c>
      <c r="C116" s="171"/>
      <c r="D116" s="20" t="s">
        <v>2041</v>
      </c>
      <c r="E116" s="20"/>
      <c r="F116" s="20"/>
      <c r="G116" s="20"/>
      <c r="H116" s="20"/>
      <c r="I116" s="15"/>
      <c r="J116" s="21"/>
      <c r="K116" s="9" t="s">
        <v>2030</v>
      </c>
      <c r="L116" s="9"/>
      <c r="M116" s="21"/>
      <c r="N116" s="171"/>
      <c r="O116" s="21"/>
      <c r="P116" s="15"/>
      <c r="Q116" s="15"/>
      <c r="R116" s="15"/>
      <c r="S116" s="10"/>
      <c r="T116" s="9"/>
      <c r="U116" s="21" t="s">
        <v>2267</v>
      </c>
      <c r="V116" s="21"/>
      <c r="W116" s="14" t="s">
        <v>2033</v>
      </c>
      <c r="X116" s="173" t="s">
        <v>2268</v>
      </c>
      <c r="Y116" s="192" t="s">
        <v>2269</v>
      </c>
    </row>
    <row r="117" spans="1:25" x14ac:dyDescent="0.3">
      <c r="A117" s="171"/>
      <c r="B117" s="171"/>
      <c r="C117" s="171"/>
      <c r="D117" s="16" t="s">
        <v>2036</v>
      </c>
      <c r="E117" s="25"/>
      <c r="F117" s="25"/>
      <c r="G117" s="25"/>
      <c r="H117" s="25"/>
      <c r="I117" s="30" t="s">
        <v>2270</v>
      </c>
      <c r="J117" s="21"/>
      <c r="K117" s="9" t="s">
        <v>2030</v>
      </c>
      <c r="L117" s="9"/>
      <c r="M117" s="21"/>
      <c r="N117" s="171"/>
      <c r="O117" s="21"/>
      <c r="P117" s="15">
        <v>4</v>
      </c>
      <c r="Q117" s="15">
        <v>16</v>
      </c>
      <c r="R117" s="15">
        <v>40</v>
      </c>
      <c r="S117" s="10"/>
      <c r="T117" s="9"/>
      <c r="U117" s="21" t="s">
        <v>2271</v>
      </c>
      <c r="V117" s="21" t="s">
        <v>2272</v>
      </c>
      <c r="W117" s="21"/>
      <c r="X117" s="174"/>
      <c r="Y117" s="193"/>
    </row>
    <row r="118" spans="1:25" x14ac:dyDescent="0.3">
      <c r="A118" s="171"/>
      <c r="B118" s="171"/>
      <c r="C118" s="171"/>
      <c r="D118" s="16" t="s">
        <v>2036</v>
      </c>
      <c r="E118" s="25"/>
      <c r="F118" s="25"/>
      <c r="G118" s="25"/>
      <c r="H118" s="25"/>
      <c r="I118" s="30" t="s">
        <v>2273</v>
      </c>
      <c r="J118" s="21"/>
      <c r="K118" s="9" t="s">
        <v>2030</v>
      </c>
      <c r="L118" s="9"/>
      <c r="M118" s="21"/>
      <c r="N118" s="171"/>
      <c r="O118" s="21"/>
      <c r="P118" s="15">
        <v>4</v>
      </c>
      <c r="Q118" s="15">
        <v>16</v>
      </c>
      <c r="R118" s="15">
        <v>40</v>
      </c>
      <c r="S118" s="10"/>
      <c r="T118" s="9"/>
      <c r="U118" s="21" t="s">
        <v>2274</v>
      </c>
      <c r="V118" s="21" t="s">
        <v>2275</v>
      </c>
      <c r="W118" s="21"/>
      <c r="X118" s="174"/>
      <c r="Y118" s="193"/>
    </row>
    <row r="119" spans="1:25" x14ac:dyDescent="0.3">
      <c r="A119" s="171"/>
      <c r="B119" s="171"/>
      <c r="C119" s="171"/>
      <c r="D119" s="16" t="s">
        <v>2036</v>
      </c>
      <c r="E119" s="25"/>
      <c r="F119" s="25"/>
      <c r="G119" s="25"/>
      <c r="H119" s="25"/>
      <c r="I119" s="30" t="s">
        <v>2276</v>
      </c>
      <c r="J119" s="21"/>
      <c r="K119" s="9" t="s">
        <v>2030</v>
      </c>
      <c r="L119" s="9"/>
      <c r="M119" s="21"/>
      <c r="N119" s="171"/>
      <c r="O119" s="21"/>
      <c r="P119" s="15">
        <v>4</v>
      </c>
      <c r="Q119" s="15">
        <v>16</v>
      </c>
      <c r="R119" s="15">
        <v>40</v>
      </c>
      <c r="S119" s="10"/>
      <c r="T119" s="9"/>
      <c r="U119" s="21" t="s">
        <v>2277</v>
      </c>
      <c r="V119" s="21" t="s">
        <v>2278</v>
      </c>
      <c r="W119" s="21"/>
      <c r="X119" s="174"/>
      <c r="Y119" s="193"/>
    </row>
    <row r="120" spans="1:25" x14ac:dyDescent="0.3">
      <c r="A120" s="171"/>
      <c r="B120" s="171"/>
      <c r="C120" s="171"/>
      <c r="D120" s="16" t="s">
        <v>2036</v>
      </c>
      <c r="E120" s="25">
        <v>24</v>
      </c>
      <c r="F120" s="31">
        <f>SUM(P117:P123)/E120</f>
        <v>0.91666666666666663</v>
      </c>
      <c r="G120" s="25">
        <v>96</v>
      </c>
      <c r="H120" s="31">
        <f>SUM(Q117:Q123)/G120</f>
        <v>0.625</v>
      </c>
      <c r="I120" s="30" t="s">
        <v>2279</v>
      </c>
      <c r="J120" s="21"/>
      <c r="K120" s="9" t="s">
        <v>2030</v>
      </c>
      <c r="L120" s="9"/>
      <c r="M120" s="21"/>
      <c r="N120" s="171"/>
      <c r="O120" s="21"/>
      <c r="P120" s="15">
        <v>4</v>
      </c>
      <c r="Q120" s="15">
        <v>4</v>
      </c>
      <c r="R120" s="15">
        <v>40</v>
      </c>
      <c r="S120" s="10"/>
      <c r="T120" s="9"/>
      <c r="U120" s="21" t="s">
        <v>2280</v>
      </c>
      <c r="V120" s="21" t="s">
        <v>2281</v>
      </c>
      <c r="W120" s="21"/>
      <c r="X120" s="174"/>
      <c r="Y120" s="193"/>
    </row>
    <row r="121" spans="1:25" x14ac:dyDescent="0.3">
      <c r="A121" s="171"/>
      <c r="B121" s="171"/>
      <c r="C121" s="171"/>
      <c r="D121" s="16" t="s">
        <v>2282</v>
      </c>
      <c r="E121" s="25"/>
      <c r="F121" s="25"/>
      <c r="G121" s="25"/>
      <c r="H121" s="25"/>
      <c r="I121" s="30" t="s">
        <v>2283</v>
      </c>
      <c r="J121" s="21"/>
      <c r="K121" s="9" t="s">
        <v>2139</v>
      </c>
      <c r="L121" s="9"/>
      <c r="M121" s="21"/>
      <c r="N121" s="171"/>
      <c r="O121" s="21"/>
      <c r="P121" s="15">
        <v>4</v>
      </c>
      <c r="Q121" s="15">
        <v>4</v>
      </c>
      <c r="R121" s="15">
        <v>240</v>
      </c>
      <c r="S121" s="10"/>
      <c r="T121" s="9"/>
      <c r="U121" s="21" t="s">
        <v>2284</v>
      </c>
      <c r="V121" s="21" t="s">
        <v>2285</v>
      </c>
      <c r="W121" s="21"/>
      <c r="X121" s="174"/>
      <c r="Y121" s="193"/>
    </row>
    <row r="122" spans="1:25" ht="30" x14ac:dyDescent="0.3">
      <c r="A122" s="171"/>
      <c r="B122" s="171"/>
      <c r="C122" s="171"/>
      <c r="D122" s="16" t="s">
        <v>2282</v>
      </c>
      <c r="E122" s="25"/>
      <c r="F122" s="25"/>
      <c r="G122" s="25"/>
      <c r="H122" s="25"/>
      <c r="I122" s="30" t="s">
        <v>2286</v>
      </c>
      <c r="J122" s="21"/>
      <c r="K122" s="9" t="s">
        <v>2287</v>
      </c>
      <c r="L122" s="9"/>
      <c r="M122" s="21"/>
      <c r="N122" s="171"/>
      <c r="O122" s="21"/>
      <c r="P122" s="15">
        <v>2</v>
      </c>
      <c r="Q122" s="15">
        <v>4</v>
      </c>
      <c r="R122" s="15">
        <v>140</v>
      </c>
      <c r="S122" s="10"/>
      <c r="T122" s="9"/>
      <c r="U122" s="21" t="s">
        <v>2288</v>
      </c>
      <c r="V122" s="21" t="s">
        <v>2289</v>
      </c>
      <c r="W122" s="21"/>
      <c r="X122" s="174"/>
      <c r="Y122" s="193"/>
    </row>
    <row r="123" spans="1:25" x14ac:dyDescent="0.3">
      <c r="A123" s="171"/>
      <c r="B123" s="172"/>
      <c r="C123" s="171"/>
      <c r="D123" s="16" t="s">
        <v>2036</v>
      </c>
      <c r="E123" s="23"/>
      <c r="F123" s="23"/>
      <c r="G123" s="23"/>
      <c r="H123" s="23"/>
      <c r="I123" s="15"/>
      <c r="J123" s="21"/>
      <c r="K123" s="9"/>
      <c r="L123" s="9"/>
      <c r="M123" s="21"/>
      <c r="N123" s="171"/>
      <c r="O123" s="21"/>
      <c r="P123" s="15"/>
      <c r="Q123" s="15"/>
      <c r="R123" s="15"/>
      <c r="S123" s="10"/>
      <c r="T123" s="9"/>
      <c r="U123" s="21" t="s">
        <v>2290</v>
      </c>
      <c r="V123" s="21"/>
      <c r="W123" s="21"/>
      <c r="X123" s="175"/>
      <c r="Y123" s="194"/>
    </row>
    <row r="124" spans="1:25" x14ac:dyDescent="0.3">
      <c r="A124" s="171"/>
      <c r="B124" s="170" t="s">
        <v>2291</v>
      </c>
      <c r="C124" s="171"/>
      <c r="D124" s="20" t="s">
        <v>2041</v>
      </c>
      <c r="E124" s="20"/>
      <c r="F124" s="20"/>
      <c r="G124" s="20"/>
      <c r="H124" s="20"/>
      <c r="I124" s="15"/>
      <c r="J124" s="21"/>
      <c r="K124" s="9" t="s">
        <v>2030</v>
      </c>
      <c r="L124" s="9"/>
      <c r="M124" s="21"/>
      <c r="N124" s="171"/>
      <c r="O124" s="21"/>
      <c r="P124" s="15"/>
      <c r="Q124" s="15"/>
      <c r="R124" s="15"/>
      <c r="S124" s="10"/>
      <c r="T124" s="9"/>
      <c r="U124" s="21" t="s">
        <v>2292</v>
      </c>
      <c r="V124" s="21"/>
      <c r="W124" s="14" t="s">
        <v>2033</v>
      </c>
      <c r="X124" s="173" t="s">
        <v>2293</v>
      </c>
      <c r="Y124" s="192" t="s">
        <v>2294</v>
      </c>
    </row>
    <row r="125" spans="1:25" ht="30" x14ac:dyDescent="0.3">
      <c r="A125" s="171"/>
      <c r="B125" s="171"/>
      <c r="C125" s="171"/>
      <c r="D125" s="16" t="s">
        <v>2036</v>
      </c>
      <c r="E125" s="25"/>
      <c r="F125" s="25"/>
      <c r="G125" s="25"/>
      <c r="H125" s="25"/>
      <c r="I125" s="30" t="s">
        <v>2295</v>
      </c>
      <c r="J125" s="21"/>
      <c r="K125" s="9" t="s">
        <v>2287</v>
      </c>
      <c r="L125" s="9"/>
      <c r="M125" s="21"/>
      <c r="N125" s="171"/>
      <c r="O125" s="21"/>
      <c r="P125" s="15">
        <v>4</v>
      </c>
      <c r="Q125" s="15">
        <v>4</v>
      </c>
      <c r="R125" s="15">
        <v>130</v>
      </c>
      <c r="S125" s="10"/>
      <c r="T125" s="9"/>
      <c r="U125" s="21" t="s">
        <v>2296</v>
      </c>
      <c r="V125" s="21" t="s">
        <v>2297</v>
      </c>
      <c r="W125" s="21"/>
      <c r="X125" s="174"/>
      <c r="Y125" s="193"/>
    </row>
    <row r="126" spans="1:25" x14ac:dyDescent="0.3">
      <c r="A126" s="171"/>
      <c r="B126" s="171"/>
      <c r="C126" s="171"/>
      <c r="D126" s="16" t="s">
        <v>2036</v>
      </c>
      <c r="E126" s="25"/>
      <c r="F126" s="25"/>
      <c r="G126" s="25"/>
      <c r="H126" s="25"/>
      <c r="I126" s="30" t="s">
        <v>2231</v>
      </c>
      <c r="J126" s="21"/>
      <c r="K126" s="9" t="s">
        <v>2030</v>
      </c>
      <c r="L126" s="9"/>
      <c r="M126" s="21"/>
      <c r="N126" s="171"/>
      <c r="O126" s="21"/>
      <c r="P126" s="15">
        <v>4</v>
      </c>
      <c r="Q126" s="15">
        <v>8</v>
      </c>
      <c r="R126" s="15">
        <v>40</v>
      </c>
      <c r="S126" s="10"/>
      <c r="T126" s="9"/>
      <c r="U126" s="21" t="s">
        <v>2298</v>
      </c>
      <c r="V126" s="21" t="s">
        <v>2299</v>
      </c>
      <c r="W126" s="21"/>
      <c r="X126" s="174"/>
      <c r="Y126" s="193"/>
    </row>
    <row r="127" spans="1:25" x14ac:dyDescent="0.3">
      <c r="A127" s="171"/>
      <c r="B127" s="171"/>
      <c r="C127" s="171"/>
      <c r="D127" s="16" t="s">
        <v>2036</v>
      </c>
      <c r="E127" s="25">
        <v>24</v>
      </c>
      <c r="F127" s="31">
        <f>SUM(P125:P129)/E127</f>
        <v>0.5</v>
      </c>
      <c r="G127" s="25">
        <v>96</v>
      </c>
      <c r="H127" s="31">
        <f>SUM(Q125:Q129)/G127</f>
        <v>0.29166666666666669</v>
      </c>
      <c r="I127" s="15"/>
      <c r="J127" s="21"/>
      <c r="K127" s="9"/>
      <c r="L127" s="9"/>
      <c r="M127" s="21"/>
      <c r="N127" s="171"/>
      <c r="O127" s="21"/>
      <c r="P127" s="15"/>
      <c r="Q127" s="15"/>
      <c r="R127" s="15"/>
      <c r="S127" s="10"/>
      <c r="T127" s="9"/>
      <c r="U127" s="21"/>
      <c r="V127" s="21"/>
      <c r="W127" s="14"/>
      <c r="X127" s="174"/>
      <c r="Y127" s="193"/>
    </row>
    <row r="128" spans="1:25" ht="45" x14ac:dyDescent="0.3">
      <c r="A128" s="171"/>
      <c r="B128" s="171"/>
      <c r="C128" s="171"/>
      <c r="D128" s="16" t="s">
        <v>2036</v>
      </c>
      <c r="E128" s="25"/>
      <c r="F128" s="25"/>
      <c r="G128" s="25"/>
      <c r="H128" s="25"/>
      <c r="I128" s="30" t="s">
        <v>2300</v>
      </c>
      <c r="J128" s="21"/>
      <c r="K128" s="9" t="s">
        <v>2301</v>
      </c>
      <c r="L128" s="9"/>
      <c r="M128" s="21"/>
      <c r="N128" s="171"/>
      <c r="O128" s="21"/>
      <c r="P128" s="15">
        <v>4</v>
      </c>
      <c r="Q128" s="15">
        <v>16</v>
      </c>
      <c r="R128" s="15">
        <v>340</v>
      </c>
      <c r="S128" s="10"/>
      <c r="T128" s="9"/>
      <c r="U128" s="21" t="s">
        <v>2302</v>
      </c>
      <c r="V128" s="21" t="s">
        <v>2303</v>
      </c>
      <c r="W128" s="14"/>
      <c r="X128" s="174"/>
      <c r="Y128" s="193"/>
    </row>
    <row r="129" spans="1:25" x14ac:dyDescent="0.3">
      <c r="A129" s="171"/>
      <c r="B129" s="172"/>
      <c r="C129" s="171"/>
      <c r="D129" s="16" t="s">
        <v>2036</v>
      </c>
      <c r="E129" s="23"/>
      <c r="F129" s="23"/>
      <c r="G129" s="23"/>
      <c r="H129" s="23"/>
      <c r="I129" s="15"/>
      <c r="J129" s="21"/>
      <c r="K129" s="9"/>
      <c r="L129" s="9"/>
      <c r="M129" s="21"/>
      <c r="N129" s="171"/>
      <c r="O129" s="21"/>
      <c r="P129" s="15"/>
      <c r="Q129" s="15"/>
      <c r="R129" s="15"/>
      <c r="S129" s="10"/>
      <c r="T129" s="9"/>
      <c r="U129" s="21"/>
      <c r="V129" s="21" t="s">
        <v>2303</v>
      </c>
      <c r="W129" s="14"/>
      <c r="X129" s="175"/>
      <c r="Y129" s="194"/>
    </row>
    <row r="130" spans="1:25" x14ac:dyDescent="0.3">
      <c r="A130" s="171"/>
      <c r="B130" s="170" t="s">
        <v>2304</v>
      </c>
      <c r="C130" s="171"/>
      <c r="D130" s="20" t="s">
        <v>2041</v>
      </c>
      <c r="E130" s="20"/>
      <c r="F130" s="20"/>
      <c r="G130" s="20"/>
      <c r="H130" s="20"/>
      <c r="I130" s="15"/>
      <c r="J130" s="21"/>
      <c r="K130" s="9" t="s">
        <v>2030</v>
      </c>
      <c r="L130" s="9"/>
      <c r="M130" s="21"/>
      <c r="N130" s="171"/>
      <c r="O130" s="21"/>
      <c r="P130" s="15"/>
      <c r="Q130" s="15"/>
      <c r="R130" s="15"/>
      <c r="S130" s="10"/>
      <c r="T130" s="9"/>
      <c r="U130" s="21" t="s">
        <v>2305</v>
      </c>
      <c r="V130" s="21"/>
      <c r="W130" s="14" t="s">
        <v>2033</v>
      </c>
      <c r="X130" s="173" t="s">
        <v>2306</v>
      </c>
      <c r="Y130" s="192" t="s">
        <v>2307</v>
      </c>
    </row>
    <row r="131" spans="1:25" x14ac:dyDescent="0.3">
      <c r="A131" s="171"/>
      <c r="B131" s="171"/>
      <c r="C131" s="171"/>
      <c r="D131" s="16" t="s">
        <v>2036</v>
      </c>
      <c r="E131" s="25"/>
      <c r="F131" s="25"/>
      <c r="G131" s="25"/>
      <c r="H131" s="25"/>
      <c r="I131" s="30" t="s">
        <v>2308</v>
      </c>
      <c r="J131" s="21"/>
      <c r="K131" s="9" t="s">
        <v>2030</v>
      </c>
      <c r="L131" s="9"/>
      <c r="M131" s="21"/>
      <c r="N131" s="171"/>
      <c r="O131" s="21"/>
      <c r="P131" s="15">
        <v>4</v>
      </c>
      <c r="Q131" s="15">
        <v>16</v>
      </c>
      <c r="R131" s="15">
        <v>40</v>
      </c>
      <c r="S131" s="10"/>
      <c r="T131" s="9"/>
      <c r="U131" s="21" t="s">
        <v>2309</v>
      </c>
      <c r="V131" s="21" t="s">
        <v>2310</v>
      </c>
      <c r="W131" s="14"/>
      <c r="X131" s="174"/>
      <c r="Y131" s="193"/>
    </row>
    <row r="132" spans="1:25" x14ac:dyDescent="0.3">
      <c r="A132" s="171"/>
      <c r="B132" s="171"/>
      <c r="C132" s="171"/>
      <c r="D132" s="16" t="s">
        <v>2036</v>
      </c>
      <c r="E132" s="25"/>
      <c r="F132" s="25"/>
      <c r="G132" s="25"/>
      <c r="H132" s="25"/>
      <c r="I132" s="30" t="s">
        <v>2311</v>
      </c>
      <c r="J132" s="21"/>
      <c r="K132" s="9" t="s">
        <v>2030</v>
      </c>
      <c r="L132" s="9"/>
      <c r="M132" s="21"/>
      <c r="N132" s="171"/>
      <c r="O132" s="21"/>
      <c r="P132" s="15">
        <v>4</v>
      </c>
      <c r="Q132" s="15">
        <v>4</v>
      </c>
      <c r="R132" s="15">
        <v>40</v>
      </c>
      <c r="S132" s="10"/>
      <c r="T132" s="9"/>
      <c r="U132" s="21" t="s">
        <v>2312</v>
      </c>
      <c r="V132" s="21" t="s">
        <v>2313</v>
      </c>
      <c r="W132" s="14"/>
      <c r="X132" s="174"/>
      <c r="Y132" s="193"/>
    </row>
    <row r="133" spans="1:25" x14ac:dyDescent="0.3">
      <c r="A133" s="171"/>
      <c r="B133" s="171"/>
      <c r="C133" s="171"/>
      <c r="D133" s="16" t="s">
        <v>2036</v>
      </c>
      <c r="E133" s="25"/>
      <c r="F133" s="25"/>
      <c r="G133" s="25"/>
      <c r="H133" s="25"/>
      <c r="I133" s="30" t="s">
        <v>2314</v>
      </c>
      <c r="J133" s="21"/>
      <c r="K133" s="9" t="s">
        <v>2030</v>
      </c>
      <c r="L133" s="9"/>
      <c r="M133" s="21"/>
      <c r="N133" s="171"/>
      <c r="O133" s="21"/>
      <c r="P133" s="15">
        <v>4</v>
      </c>
      <c r="Q133" s="15">
        <v>16</v>
      </c>
      <c r="R133" s="15">
        <v>40</v>
      </c>
      <c r="S133" s="10"/>
      <c r="T133" s="9"/>
      <c r="U133" s="21" t="s">
        <v>2315</v>
      </c>
      <c r="V133" s="21" t="s">
        <v>2316</v>
      </c>
      <c r="W133" s="14"/>
      <c r="X133" s="174"/>
      <c r="Y133" s="193"/>
    </row>
    <row r="134" spans="1:25" x14ac:dyDescent="0.3">
      <c r="A134" s="171"/>
      <c r="B134" s="171"/>
      <c r="C134" s="171"/>
      <c r="D134" s="16" t="s">
        <v>2036</v>
      </c>
      <c r="E134" s="25"/>
      <c r="F134" s="25"/>
      <c r="G134" s="25"/>
      <c r="H134" s="25"/>
      <c r="I134" s="30" t="s">
        <v>2317</v>
      </c>
      <c r="J134" s="21"/>
      <c r="K134" s="9" t="s">
        <v>2030</v>
      </c>
      <c r="L134" s="9"/>
      <c r="M134" s="21"/>
      <c r="N134" s="171"/>
      <c r="O134" s="21"/>
      <c r="P134" s="15">
        <v>4</v>
      </c>
      <c r="Q134" s="15">
        <v>16</v>
      </c>
      <c r="R134" s="15">
        <v>40</v>
      </c>
      <c r="S134" s="10"/>
      <c r="T134" s="9"/>
      <c r="U134" s="21" t="s">
        <v>2318</v>
      </c>
      <c r="V134" s="21" t="s">
        <v>2319</v>
      </c>
      <c r="W134" s="14"/>
      <c r="X134" s="174"/>
      <c r="Y134" s="193"/>
    </row>
    <row r="135" spans="1:25" x14ac:dyDescent="0.3">
      <c r="A135" s="171"/>
      <c r="B135" s="171"/>
      <c r="C135" s="171"/>
      <c r="D135" s="16" t="s">
        <v>2036</v>
      </c>
      <c r="E135" s="25">
        <v>24</v>
      </c>
      <c r="F135" s="31">
        <f>SUM(P131:P137)/E135</f>
        <v>0.79166666666666663</v>
      </c>
      <c r="G135" s="25">
        <v>96</v>
      </c>
      <c r="H135" s="31">
        <f>SUM(Q131:Q137)/G135</f>
        <v>0.5625</v>
      </c>
      <c r="I135" s="15"/>
      <c r="J135" s="21"/>
      <c r="K135" s="9"/>
      <c r="L135" s="9"/>
      <c r="M135" s="21"/>
      <c r="N135" s="171"/>
      <c r="O135" s="21"/>
      <c r="P135" s="15"/>
      <c r="Q135" s="15"/>
      <c r="R135" s="15"/>
      <c r="S135" s="10"/>
      <c r="T135" s="9"/>
      <c r="U135" s="21"/>
      <c r="V135" s="21" t="s">
        <v>2238</v>
      </c>
      <c r="W135" s="14"/>
      <c r="X135" s="174"/>
      <c r="Y135" s="193"/>
    </row>
    <row r="136" spans="1:25" ht="30.75" customHeight="1" x14ac:dyDescent="0.3">
      <c r="A136" s="171"/>
      <c r="B136" s="171"/>
      <c r="C136" s="171"/>
      <c r="D136" s="16" t="s">
        <v>2036</v>
      </c>
      <c r="E136" s="25"/>
      <c r="F136" s="25"/>
      <c r="G136" s="25"/>
      <c r="H136" s="25"/>
      <c r="I136" s="30" t="s">
        <v>2320</v>
      </c>
      <c r="J136" s="21"/>
      <c r="K136" s="9" t="s">
        <v>2321</v>
      </c>
      <c r="L136" s="9"/>
      <c r="M136" s="21"/>
      <c r="N136" s="171"/>
      <c r="O136" s="21"/>
      <c r="P136" s="15">
        <v>2</v>
      </c>
      <c r="Q136" s="15">
        <v>1</v>
      </c>
      <c r="R136" s="15">
        <v>108</v>
      </c>
      <c r="S136" s="10"/>
      <c r="T136" s="9"/>
      <c r="U136" s="21"/>
      <c r="V136" s="21" t="s">
        <v>2322</v>
      </c>
      <c r="W136" s="14"/>
      <c r="X136" s="174"/>
      <c r="Y136" s="193"/>
    </row>
    <row r="137" spans="1:25" ht="30" x14ac:dyDescent="0.3">
      <c r="A137" s="171"/>
      <c r="B137" s="171"/>
      <c r="C137" s="171"/>
      <c r="D137" s="16" t="s">
        <v>2036</v>
      </c>
      <c r="E137" s="25"/>
      <c r="F137" s="25"/>
      <c r="G137" s="25"/>
      <c r="H137" s="25"/>
      <c r="I137" s="30" t="s">
        <v>2323</v>
      </c>
      <c r="J137" s="21"/>
      <c r="K137" s="9" t="s">
        <v>2321</v>
      </c>
      <c r="L137" s="9"/>
      <c r="M137" s="21"/>
      <c r="N137" s="171"/>
      <c r="O137" s="21"/>
      <c r="P137" s="15">
        <v>1</v>
      </c>
      <c r="Q137" s="15">
        <v>1</v>
      </c>
      <c r="R137" s="15">
        <v>58</v>
      </c>
      <c r="S137" s="10"/>
      <c r="T137" s="9"/>
      <c r="U137" s="21"/>
      <c r="V137" s="21" t="s">
        <v>2324</v>
      </c>
      <c r="W137" s="21"/>
      <c r="X137" s="174"/>
      <c r="Y137" s="193"/>
    </row>
    <row r="138" spans="1:25" x14ac:dyDescent="0.3">
      <c r="A138" s="171"/>
      <c r="B138" s="172"/>
      <c r="C138" s="171"/>
      <c r="D138" s="16" t="s">
        <v>2036</v>
      </c>
      <c r="E138" s="23"/>
      <c r="F138" s="23"/>
      <c r="G138" s="23"/>
      <c r="H138" s="23"/>
      <c r="I138" s="15"/>
      <c r="J138" s="21"/>
      <c r="K138" s="9"/>
      <c r="L138" s="9"/>
      <c r="M138" s="21"/>
      <c r="N138" s="171"/>
      <c r="O138" s="21"/>
      <c r="P138" s="15"/>
      <c r="Q138" s="15"/>
      <c r="R138" s="15"/>
      <c r="S138" s="10"/>
      <c r="T138" s="9"/>
      <c r="U138" s="21"/>
      <c r="V138" s="21" t="s">
        <v>2324</v>
      </c>
      <c r="W138" s="21"/>
      <c r="X138" s="175"/>
      <c r="Y138" s="194"/>
    </row>
    <row r="139" spans="1:25" x14ac:dyDescent="0.3">
      <c r="A139" s="171"/>
      <c r="B139" s="170" t="s">
        <v>2325</v>
      </c>
      <c r="C139" s="171"/>
      <c r="D139" s="20" t="s">
        <v>2041</v>
      </c>
      <c r="E139" s="20"/>
      <c r="F139" s="20"/>
      <c r="G139" s="20"/>
      <c r="H139" s="20"/>
      <c r="I139" s="15"/>
      <c r="J139" s="21"/>
      <c r="K139" s="9" t="s">
        <v>2030</v>
      </c>
      <c r="L139" s="9"/>
      <c r="M139" s="21"/>
      <c r="N139" s="171"/>
      <c r="O139" s="21"/>
      <c r="P139" s="15"/>
      <c r="Q139" s="15"/>
      <c r="R139" s="15"/>
      <c r="S139" s="10"/>
      <c r="T139" s="9"/>
      <c r="U139" s="21" t="s">
        <v>2326</v>
      </c>
      <c r="V139" s="21"/>
      <c r="W139" s="14" t="s">
        <v>2033</v>
      </c>
      <c r="X139" s="173" t="s">
        <v>2327</v>
      </c>
      <c r="Y139" s="192" t="s">
        <v>2328</v>
      </c>
    </row>
    <row r="140" spans="1:25" ht="30" x14ac:dyDescent="0.3">
      <c r="A140" s="171"/>
      <c r="B140" s="171"/>
      <c r="C140" s="171"/>
      <c r="D140" s="16" t="s">
        <v>2036</v>
      </c>
      <c r="E140" s="25"/>
      <c r="F140" s="25"/>
      <c r="G140" s="25"/>
      <c r="H140" s="25"/>
      <c r="I140" s="30" t="s">
        <v>2329</v>
      </c>
      <c r="J140" s="21"/>
      <c r="K140" s="9" t="s">
        <v>2287</v>
      </c>
      <c r="L140" s="9"/>
      <c r="M140" s="21"/>
      <c r="N140" s="171"/>
      <c r="O140" s="21"/>
      <c r="P140" s="15">
        <v>4</v>
      </c>
      <c r="Q140" s="15">
        <v>4</v>
      </c>
      <c r="R140" s="15">
        <v>110</v>
      </c>
      <c r="S140" s="10"/>
      <c r="T140" s="9"/>
      <c r="U140" s="21" t="s">
        <v>2330</v>
      </c>
      <c r="V140" s="21" t="s">
        <v>2331</v>
      </c>
      <c r="W140" s="21"/>
      <c r="X140" s="174"/>
      <c r="Y140" s="193"/>
    </row>
    <row r="141" spans="1:25" x14ac:dyDescent="0.3">
      <c r="A141" s="171"/>
      <c r="B141" s="171"/>
      <c r="C141" s="171"/>
      <c r="D141" s="16" t="s">
        <v>2036</v>
      </c>
      <c r="E141" s="25">
        <v>24</v>
      </c>
      <c r="F141" s="31">
        <f>SUM(P140:P144)/E141</f>
        <v>0.5</v>
      </c>
      <c r="G141" s="25">
        <v>96</v>
      </c>
      <c r="H141" s="31">
        <f>SUM(Q140:Q144)/G141</f>
        <v>0.20833333333333334</v>
      </c>
      <c r="I141" s="15"/>
      <c r="J141" s="21"/>
      <c r="K141" s="9"/>
      <c r="L141" s="9"/>
      <c r="M141" s="21"/>
      <c r="N141" s="171"/>
      <c r="O141" s="21"/>
      <c r="P141" s="15"/>
      <c r="Q141" s="15"/>
      <c r="R141" s="15"/>
      <c r="S141" s="10"/>
      <c r="T141" s="9"/>
      <c r="U141" s="21"/>
      <c r="V141" s="21"/>
      <c r="W141" s="21"/>
      <c r="X141" s="174"/>
      <c r="Y141" s="193"/>
    </row>
    <row r="142" spans="1:25" x14ac:dyDescent="0.3">
      <c r="A142" s="171"/>
      <c r="B142" s="171"/>
      <c r="C142" s="171"/>
      <c r="D142" s="16" t="s">
        <v>2036</v>
      </c>
      <c r="E142" s="25"/>
      <c r="F142" s="25"/>
      <c r="G142" s="25"/>
      <c r="H142" s="25"/>
      <c r="I142" s="30" t="s">
        <v>2332</v>
      </c>
      <c r="J142" s="21"/>
      <c r="K142" s="9" t="s">
        <v>2030</v>
      </c>
      <c r="L142" s="9"/>
      <c r="M142" s="21"/>
      <c r="N142" s="171"/>
      <c r="O142" s="21"/>
      <c r="P142" s="15">
        <v>8</v>
      </c>
      <c r="Q142" s="15">
        <v>16</v>
      </c>
      <c r="R142" s="15">
        <v>40</v>
      </c>
      <c r="S142" s="10"/>
      <c r="T142" s="9"/>
      <c r="U142" s="21" t="s">
        <v>2333</v>
      </c>
      <c r="V142" s="21" t="s">
        <v>2334</v>
      </c>
      <c r="W142" s="21"/>
      <c r="X142" s="174"/>
      <c r="Y142" s="193"/>
    </row>
    <row r="143" spans="1:25" x14ac:dyDescent="0.3">
      <c r="A143" s="171"/>
      <c r="B143" s="171"/>
      <c r="C143" s="171"/>
      <c r="D143" s="16" t="s">
        <v>2036</v>
      </c>
      <c r="E143" s="25"/>
      <c r="F143" s="25"/>
      <c r="G143" s="25"/>
      <c r="H143" s="25"/>
      <c r="I143" s="15"/>
      <c r="J143" s="21"/>
      <c r="K143" s="9"/>
      <c r="L143" s="9"/>
      <c r="M143" s="21"/>
      <c r="N143" s="171"/>
      <c r="O143" s="21"/>
      <c r="P143" s="15"/>
      <c r="Q143" s="15"/>
      <c r="R143" s="15"/>
      <c r="S143" s="10"/>
      <c r="T143" s="9"/>
      <c r="U143" s="21"/>
      <c r="V143" s="21"/>
      <c r="W143" s="21"/>
      <c r="X143" s="174"/>
      <c r="Y143" s="193"/>
    </row>
    <row r="144" spans="1:25" x14ac:dyDescent="0.3">
      <c r="A144" s="172"/>
      <c r="B144" s="172"/>
      <c r="C144" s="172"/>
      <c r="D144" s="16" t="s">
        <v>2036</v>
      </c>
      <c r="E144" s="23"/>
      <c r="F144" s="23"/>
      <c r="G144" s="23"/>
      <c r="H144" s="23"/>
      <c r="I144" s="15"/>
      <c r="J144" s="21"/>
      <c r="K144" s="9"/>
      <c r="L144" s="9"/>
      <c r="M144" s="21"/>
      <c r="N144" s="172"/>
      <c r="O144" s="21"/>
      <c r="P144" s="15"/>
      <c r="Q144" s="15"/>
      <c r="R144" s="15"/>
      <c r="S144" s="10"/>
      <c r="T144" s="9"/>
      <c r="U144" s="21"/>
      <c r="V144" s="21"/>
      <c r="W144" s="21"/>
      <c r="X144" s="175"/>
      <c r="Y144" s="194"/>
    </row>
    <row r="145" spans="1:25" x14ac:dyDescent="0.3">
      <c r="A145" s="170" t="s">
        <v>2026</v>
      </c>
      <c r="B145" s="170" t="s">
        <v>2335</v>
      </c>
      <c r="C145" s="170" t="s">
        <v>2336</v>
      </c>
      <c r="D145" s="20" t="s">
        <v>2029</v>
      </c>
      <c r="E145" s="20"/>
      <c r="F145" s="20"/>
      <c r="G145" s="20"/>
      <c r="H145" s="20"/>
      <c r="I145" s="15"/>
      <c r="J145" s="21"/>
      <c r="K145" s="9" t="s">
        <v>2030</v>
      </c>
      <c r="L145" s="9"/>
      <c r="M145" s="21"/>
      <c r="N145" s="170" t="s">
        <v>2337</v>
      </c>
      <c r="O145" s="21"/>
      <c r="P145" s="15"/>
      <c r="Q145" s="15"/>
      <c r="R145" s="15"/>
      <c r="S145" s="10"/>
      <c r="T145" s="9"/>
      <c r="U145" s="21" t="s">
        <v>2338</v>
      </c>
      <c r="V145" s="21"/>
      <c r="W145" s="14" t="s">
        <v>2033</v>
      </c>
      <c r="X145" s="173" t="s">
        <v>2339</v>
      </c>
      <c r="Y145" s="192" t="s">
        <v>2340</v>
      </c>
    </row>
    <row r="146" spans="1:25" ht="30" x14ac:dyDescent="0.3">
      <c r="A146" s="171"/>
      <c r="B146" s="171"/>
      <c r="C146" s="171"/>
      <c r="D146" s="16" t="s">
        <v>2036</v>
      </c>
      <c r="E146" s="25"/>
      <c r="F146" s="25"/>
      <c r="G146" s="25"/>
      <c r="H146" s="25"/>
      <c r="I146" s="30" t="s">
        <v>2341</v>
      </c>
      <c r="J146" s="21"/>
      <c r="K146" s="9" t="s">
        <v>2030</v>
      </c>
      <c r="L146" s="9"/>
      <c r="M146" s="21"/>
      <c r="N146" s="171"/>
      <c r="O146" s="21"/>
      <c r="P146" s="15">
        <v>2</v>
      </c>
      <c r="Q146" s="15">
        <v>8</v>
      </c>
      <c r="R146" s="15">
        <v>40</v>
      </c>
      <c r="S146" s="10"/>
      <c r="T146" s="9"/>
      <c r="U146" s="21" t="s">
        <v>2342</v>
      </c>
      <c r="V146" s="21" t="s">
        <v>2343</v>
      </c>
      <c r="W146" s="21"/>
      <c r="X146" s="174"/>
      <c r="Y146" s="193"/>
    </row>
    <row r="147" spans="1:25" ht="30" x14ac:dyDescent="0.3">
      <c r="A147" s="171"/>
      <c r="B147" s="171"/>
      <c r="C147" s="171"/>
      <c r="D147" s="16" t="s">
        <v>2036</v>
      </c>
      <c r="E147" s="25">
        <v>24</v>
      </c>
      <c r="F147" s="31">
        <f>SUM(P146:P149)/E147</f>
        <v>0.5</v>
      </c>
      <c r="G147" s="25">
        <v>96</v>
      </c>
      <c r="H147" s="31">
        <f>SUM(Q146:Q149)/G147</f>
        <v>0.5</v>
      </c>
      <c r="I147" s="30" t="s">
        <v>2344</v>
      </c>
      <c r="J147" s="21"/>
      <c r="K147" s="9" t="s">
        <v>2030</v>
      </c>
      <c r="L147" s="9"/>
      <c r="M147" s="21"/>
      <c r="N147" s="171"/>
      <c r="O147" s="21"/>
      <c r="P147" s="15">
        <v>4</v>
      </c>
      <c r="Q147" s="15">
        <v>8</v>
      </c>
      <c r="R147" s="15">
        <v>40</v>
      </c>
      <c r="S147" s="10"/>
      <c r="T147" s="9"/>
      <c r="U147" s="21" t="s">
        <v>2345</v>
      </c>
      <c r="V147" s="21" t="s">
        <v>2346</v>
      </c>
      <c r="W147" s="21"/>
      <c r="X147" s="174"/>
      <c r="Y147" s="193"/>
    </row>
    <row r="148" spans="1:25" x14ac:dyDescent="0.3">
      <c r="A148" s="171"/>
      <c r="B148" s="171"/>
      <c r="C148" s="171"/>
      <c r="D148" s="16" t="s">
        <v>2036</v>
      </c>
      <c r="E148" s="25"/>
      <c r="F148" s="25"/>
      <c r="G148" s="25"/>
      <c r="H148" s="25"/>
      <c r="I148" s="30" t="s">
        <v>2347</v>
      </c>
      <c r="J148" s="21"/>
      <c r="K148" s="9" t="s">
        <v>2030</v>
      </c>
      <c r="L148" s="9"/>
      <c r="M148" s="21"/>
      <c r="N148" s="171"/>
      <c r="O148" s="21"/>
      <c r="P148" s="15">
        <v>4</v>
      </c>
      <c r="Q148" s="15">
        <v>16</v>
      </c>
      <c r="R148" s="15">
        <v>40</v>
      </c>
      <c r="S148" s="10"/>
      <c r="T148" s="9"/>
      <c r="U148" s="21" t="s">
        <v>2348</v>
      </c>
      <c r="V148" s="21" t="s">
        <v>2349</v>
      </c>
      <c r="W148" s="21"/>
      <c r="X148" s="174"/>
      <c r="Y148" s="193"/>
    </row>
    <row r="149" spans="1:25" x14ac:dyDescent="0.3">
      <c r="A149" s="171"/>
      <c r="B149" s="172"/>
      <c r="C149" s="171"/>
      <c r="D149" s="16" t="s">
        <v>2036</v>
      </c>
      <c r="E149" s="23"/>
      <c r="F149" s="23"/>
      <c r="G149" s="23"/>
      <c r="H149" s="23"/>
      <c r="I149" s="30" t="s">
        <v>2350</v>
      </c>
      <c r="J149" s="21"/>
      <c r="K149" s="9" t="s">
        <v>2030</v>
      </c>
      <c r="L149" s="9"/>
      <c r="M149" s="21"/>
      <c r="N149" s="171"/>
      <c r="O149" s="21"/>
      <c r="P149" s="15">
        <v>2</v>
      </c>
      <c r="Q149" s="15">
        <v>16</v>
      </c>
      <c r="R149" s="15">
        <v>40</v>
      </c>
      <c r="S149" s="10"/>
      <c r="T149" s="9"/>
      <c r="U149" s="21" t="s">
        <v>2351</v>
      </c>
      <c r="V149" s="21" t="s">
        <v>2352</v>
      </c>
      <c r="W149" s="21"/>
      <c r="X149" s="175"/>
      <c r="Y149" s="194"/>
    </row>
    <row r="150" spans="1:25" x14ac:dyDescent="0.3">
      <c r="A150" s="171"/>
      <c r="B150" s="170" t="s">
        <v>2353</v>
      </c>
      <c r="C150" s="171"/>
      <c r="D150" s="20" t="s">
        <v>2041</v>
      </c>
      <c r="E150" s="20"/>
      <c r="F150" s="20"/>
      <c r="G150" s="20"/>
      <c r="H150" s="20"/>
      <c r="I150" s="15"/>
      <c r="J150" s="21"/>
      <c r="K150" s="9" t="s">
        <v>2030</v>
      </c>
      <c r="L150" s="9"/>
      <c r="M150" s="21"/>
      <c r="N150" s="171"/>
      <c r="O150" s="21"/>
      <c r="P150" s="15"/>
      <c r="Q150" s="15"/>
      <c r="R150" s="15"/>
      <c r="S150" s="10"/>
      <c r="T150" s="9"/>
      <c r="U150" s="21" t="s">
        <v>2354</v>
      </c>
      <c r="V150" s="21"/>
      <c r="W150" s="14" t="s">
        <v>2033</v>
      </c>
      <c r="X150" s="173" t="s">
        <v>2355</v>
      </c>
      <c r="Y150" s="192" t="s">
        <v>2356</v>
      </c>
    </row>
    <row r="151" spans="1:25" ht="30" x14ac:dyDescent="0.3">
      <c r="A151" s="171"/>
      <c r="B151" s="171"/>
      <c r="C151" s="171"/>
      <c r="D151" s="16" t="s">
        <v>2036</v>
      </c>
      <c r="E151" s="25"/>
      <c r="F151" s="25"/>
      <c r="G151" s="25"/>
      <c r="H151" s="25"/>
      <c r="I151" s="30" t="s">
        <v>2357</v>
      </c>
      <c r="J151" s="21"/>
      <c r="K151" s="9" t="s">
        <v>2030</v>
      </c>
      <c r="L151" s="9"/>
      <c r="M151" s="21"/>
      <c r="N151" s="171"/>
      <c r="O151" s="21"/>
      <c r="P151" s="15">
        <v>4</v>
      </c>
      <c r="Q151" s="15">
        <v>8</v>
      </c>
      <c r="R151" s="15">
        <v>40</v>
      </c>
      <c r="S151" s="10"/>
      <c r="T151" s="9"/>
      <c r="U151" s="21" t="s">
        <v>2358</v>
      </c>
      <c r="V151" s="21" t="s">
        <v>2359</v>
      </c>
      <c r="W151" s="21"/>
      <c r="X151" s="174"/>
      <c r="Y151" s="193"/>
    </row>
    <row r="152" spans="1:25" ht="30" x14ac:dyDescent="0.3">
      <c r="A152" s="171"/>
      <c r="B152" s="171"/>
      <c r="C152" s="171"/>
      <c r="D152" s="16" t="s">
        <v>2036</v>
      </c>
      <c r="E152" s="25"/>
      <c r="F152" s="25"/>
      <c r="G152" s="25"/>
      <c r="H152" s="25"/>
      <c r="I152" s="30" t="s">
        <v>2360</v>
      </c>
      <c r="J152" s="21"/>
      <c r="K152" s="9" t="s">
        <v>2030</v>
      </c>
      <c r="L152" s="9"/>
      <c r="M152" s="21"/>
      <c r="N152" s="171"/>
      <c r="O152" s="21"/>
      <c r="P152" s="15">
        <v>2</v>
      </c>
      <c r="Q152" s="15">
        <v>8</v>
      </c>
      <c r="R152" s="15">
        <v>40</v>
      </c>
      <c r="S152" s="10"/>
      <c r="T152" s="9"/>
      <c r="U152" s="21" t="s">
        <v>2361</v>
      </c>
      <c r="V152" s="21" t="s">
        <v>2362</v>
      </c>
      <c r="W152" s="21"/>
      <c r="X152" s="174"/>
      <c r="Y152" s="193"/>
    </row>
    <row r="153" spans="1:25" ht="30" x14ac:dyDescent="0.3">
      <c r="A153" s="171"/>
      <c r="B153" s="171"/>
      <c r="C153" s="171"/>
      <c r="D153" s="16" t="s">
        <v>2036</v>
      </c>
      <c r="E153" s="25">
        <v>24</v>
      </c>
      <c r="F153" s="31">
        <f>SUM(P151:P157)/E153</f>
        <v>1.0833333333333333</v>
      </c>
      <c r="G153" s="25">
        <v>96</v>
      </c>
      <c r="H153" s="31">
        <f>SUM(Q151:Q157)/G153</f>
        <v>0.91666666666666663</v>
      </c>
      <c r="I153" s="30" t="s">
        <v>2363</v>
      </c>
      <c r="J153" s="21"/>
      <c r="K153" s="9" t="s">
        <v>2030</v>
      </c>
      <c r="L153" s="9"/>
      <c r="M153" s="21"/>
      <c r="N153" s="171"/>
      <c r="O153" s="21"/>
      <c r="P153" s="15">
        <v>4</v>
      </c>
      <c r="Q153" s="15">
        <v>8</v>
      </c>
      <c r="R153" s="15">
        <v>80</v>
      </c>
      <c r="S153" s="10"/>
      <c r="T153" s="9"/>
      <c r="U153" s="21" t="s">
        <v>2364</v>
      </c>
      <c r="V153" s="21" t="s">
        <v>2365</v>
      </c>
      <c r="W153" s="21"/>
      <c r="X153" s="174"/>
      <c r="Y153" s="193"/>
    </row>
    <row r="154" spans="1:25" x14ac:dyDescent="0.3">
      <c r="A154" s="171"/>
      <c r="B154" s="171"/>
      <c r="C154" s="171"/>
      <c r="D154" s="16" t="s">
        <v>2036</v>
      </c>
      <c r="E154" s="25"/>
      <c r="F154" s="25"/>
      <c r="G154" s="25"/>
      <c r="H154" s="25"/>
      <c r="I154" s="30" t="s">
        <v>2366</v>
      </c>
      <c r="J154" s="21"/>
      <c r="K154" s="9" t="s">
        <v>2030</v>
      </c>
      <c r="L154" s="9"/>
      <c r="M154" s="21"/>
      <c r="N154" s="171"/>
      <c r="O154" s="21"/>
      <c r="P154" s="15">
        <v>4</v>
      </c>
      <c r="Q154" s="15">
        <v>16</v>
      </c>
      <c r="R154" s="15">
        <v>40</v>
      </c>
      <c r="S154" s="10"/>
      <c r="T154" s="9"/>
      <c r="U154" s="21" t="s">
        <v>2367</v>
      </c>
      <c r="V154" s="21" t="s">
        <v>2368</v>
      </c>
      <c r="W154" s="21"/>
      <c r="X154" s="174"/>
      <c r="Y154" s="193"/>
    </row>
    <row r="155" spans="1:25" ht="30" x14ac:dyDescent="0.3">
      <c r="A155" s="171"/>
      <c r="B155" s="171"/>
      <c r="C155" s="171"/>
      <c r="D155" s="16" t="s">
        <v>2036</v>
      </c>
      <c r="E155" s="25"/>
      <c r="F155" s="25"/>
      <c r="G155" s="25"/>
      <c r="H155" s="25"/>
      <c r="I155" s="30" t="s">
        <v>2369</v>
      </c>
      <c r="J155" s="21"/>
      <c r="K155" s="9" t="s">
        <v>2030</v>
      </c>
      <c r="L155" s="9"/>
      <c r="M155" s="21"/>
      <c r="N155" s="171"/>
      <c r="O155" s="21"/>
      <c r="P155" s="15">
        <v>4</v>
      </c>
      <c r="Q155" s="15">
        <v>16</v>
      </c>
      <c r="R155" s="15">
        <v>40</v>
      </c>
      <c r="S155" s="10"/>
      <c r="T155" s="9"/>
      <c r="U155" s="21" t="s">
        <v>2370</v>
      </c>
      <c r="V155" s="21" t="s">
        <v>2371</v>
      </c>
      <c r="W155" s="21"/>
      <c r="X155" s="174"/>
      <c r="Y155" s="193"/>
    </row>
    <row r="156" spans="1:25" x14ac:dyDescent="0.3">
      <c r="A156" s="171"/>
      <c r="B156" s="171"/>
      <c r="C156" s="171"/>
      <c r="D156" s="16" t="s">
        <v>2036</v>
      </c>
      <c r="E156" s="25"/>
      <c r="F156" s="25"/>
      <c r="G156" s="25"/>
      <c r="H156" s="25"/>
      <c r="I156" s="30" t="s">
        <v>2372</v>
      </c>
      <c r="J156" s="21"/>
      <c r="K156" s="9" t="s">
        <v>2030</v>
      </c>
      <c r="L156" s="9"/>
      <c r="M156" s="21"/>
      <c r="N156" s="171"/>
      <c r="O156" s="21"/>
      <c r="P156" s="15">
        <v>4</v>
      </c>
      <c r="Q156" s="15">
        <v>16</v>
      </c>
      <c r="R156" s="15">
        <v>40</v>
      </c>
      <c r="S156" s="10"/>
      <c r="T156" s="9"/>
      <c r="U156" s="21" t="s">
        <v>2373</v>
      </c>
      <c r="V156" s="21" t="s">
        <v>2374</v>
      </c>
      <c r="W156" s="21"/>
      <c r="X156" s="174"/>
      <c r="Y156" s="193"/>
    </row>
    <row r="157" spans="1:25" x14ac:dyDescent="0.3">
      <c r="A157" s="171"/>
      <c r="B157" s="172"/>
      <c r="C157" s="171"/>
      <c r="D157" s="16" t="s">
        <v>2036</v>
      </c>
      <c r="E157" s="23"/>
      <c r="F157" s="23"/>
      <c r="G157" s="23"/>
      <c r="H157" s="23"/>
      <c r="I157" s="30" t="s">
        <v>2375</v>
      </c>
      <c r="J157" s="21"/>
      <c r="K157" s="9" t="s">
        <v>2030</v>
      </c>
      <c r="L157" s="9"/>
      <c r="M157" s="21"/>
      <c r="N157" s="171"/>
      <c r="O157" s="21"/>
      <c r="P157" s="15">
        <v>4</v>
      </c>
      <c r="Q157" s="15">
        <v>16</v>
      </c>
      <c r="R157" s="15">
        <v>80</v>
      </c>
      <c r="S157" s="10"/>
      <c r="T157" s="9"/>
      <c r="U157" s="21" t="s">
        <v>2376</v>
      </c>
      <c r="V157" s="21" t="s">
        <v>2377</v>
      </c>
      <c r="W157" s="21"/>
      <c r="X157" s="175"/>
      <c r="Y157" s="194"/>
    </row>
    <row r="158" spans="1:25" x14ac:dyDescent="0.3">
      <c r="A158" s="171"/>
      <c r="B158" s="170" t="s">
        <v>2378</v>
      </c>
      <c r="C158" s="171"/>
      <c r="D158" s="20" t="s">
        <v>2041</v>
      </c>
      <c r="E158" s="20"/>
      <c r="F158" s="20"/>
      <c r="G158" s="20"/>
      <c r="H158" s="20"/>
      <c r="I158" s="15"/>
      <c r="J158" s="21"/>
      <c r="K158" s="9" t="s">
        <v>2030</v>
      </c>
      <c r="L158" s="9"/>
      <c r="M158" s="21"/>
      <c r="N158" s="171"/>
      <c r="O158" s="21"/>
      <c r="P158" s="15"/>
      <c r="Q158" s="15"/>
      <c r="R158" s="15"/>
      <c r="S158" s="10"/>
      <c r="T158" s="9"/>
      <c r="U158" s="21" t="s">
        <v>2379</v>
      </c>
      <c r="V158" s="21"/>
      <c r="W158" s="14" t="s">
        <v>2033</v>
      </c>
      <c r="X158" s="173" t="s">
        <v>2380</v>
      </c>
      <c r="Y158" s="192" t="s">
        <v>2381</v>
      </c>
    </row>
    <row r="159" spans="1:25" ht="30" x14ac:dyDescent="0.3">
      <c r="A159" s="171"/>
      <c r="B159" s="171"/>
      <c r="C159" s="171"/>
      <c r="D159" s="16" t="s">
        <v>2036</v>
      </c>
      <c r="E159" s="25"/>
      <c r="F159" s="25"/>
      <c r="G159" s="25"/>
      <c r="H159" s="25"/>
      <c r="I159" s="30" t="s">
        <v>2382</v>
      </c>
      <c r="J159" s="21"/>
      <c r="K159" s="9" t="s">
        <v>2030</v>
      </c>
      <c r="L159" s="9"/>
      <c r="M159" s="21"/>
      <c r="N159" s="171"/>
      <c r="O159" s="21"/>
      <c r="P159" s="15">
        <v>2</v>
      </c>
      <c r="Q159" s="15">
        <v>8</v>
      </c>
      <c r="R159" s="15">
        <v>40</v>
      </c>
      <c r="S159" s="10"/>
      <c r="T159" s="9"/>
      <c r="U159" s="21" t="s">
        <v>2383</v>
      </c>
      <c r="V159" s="21" t="s">
        <v>2384</v>
      </c>
      <c r="W159" s="21"/>
      <c r="X159" s="174"/>
      <c r="Y159" s="193"/>
    </row>
    <row r="160" spans="1:25" ht="30" x14ac:dyDescent="0.3">
      <c r="A160" s="171"/>
      <c r="B160" s="171"/>
      <c r="C160" s="171"/>
      <c r="D160" s="16" t="s">
        <v>2036</v>
      </c>
      <c r="E160" s="25"/>
      <c r="F160" s="25"/>
      <c r="G160" s="25"/>
      <c r="H160" s="25"/>
      <c r="I160" s="30" t="s">
        <v>2385</v>
      </c>
      <c r="J160" s="21"/>
      <c r="K160" s="9" t="s">
        <v>2030</v>
      </c>
      <c r="L160" s="9"/>
      <c r="M160" s="21"/>
      <c r="N160" s="171"/>
      <c r="O160" s="21"/>
      <c r="P160" s="15">
        <v>4</v>
      </c>
      <c r="Q160" s="15">
        <v>8</v>
      </c>
      <c r="R160" s="15">
        <v>80</v>
      </c>
      <c r="S160" s="10"/>
      <c r="T160" s="9"/>
      <c r="U160" s="21" t="s">
        <v>2386</v>
      </c>
      <c r="V160" s="21" t="s">
        <v>2387</v>
      </c>
      <c r="W160" s="21"/>
      <c r="X160" s="174"/>
      <c r="Y160" s="193"/>
    </row>
    <row r="161" spans="1:25" x14ac:dyDescent="0.3">
      <c r="A161" s="171"/>
      <c r="B161" s="171"/>
      <c r="C161" s="171"/>
      <c r="D161" s="16" t="s">
        <v>2036</v>
      </c>
      <c r="E161" s="25">
        <v>24</v>
      </c>
      <c r="F161" s="31">
        <f>SUM(P159:P165)/E161</f>
        <v>0.75</v>
      </c>
      <c r="G161" s="25">
        <v>96</v>
      </c>
      <c r="H161" s="31">
        <f>SUM(Q159:Q165)/G161</f>
        <v>0.66666666666666663</v>
      </c>
      <c r="I161" s="30" t="s">
        <v>2388</v>
      </c>
      <c r="J161" s="21"/>
      <c r="K161" s="9" t="s">
        <v>2030</v>
      </c>
      <c r="L161" s="9"/>
      <c r="M161" s="21"/>
      <c r="N161" s="171"/>
      <c r="O161" s="21"/>
      <c r="P161" s="15">
        <v>2</v>
      </c>
      <c r="Q161" s="15">
        <v>8</v>
      </c>
      <c r="R161" s="15">
        <v>90</v>
      </c>
      <c r="S161" s="10"/>
      <c r="T161" s="9"/>
      <c r="U161" s="21" t="s">
        <v>2389</v>
      </c>
      <c r="V161" s="21" t="s">
        <v>2390</v>
      </c>
      <c r="W161" s="21"/>
      <c r="X161" s="174"/>
      <c r="Y161" s="193"/>
    </row>
    <row r="162" spans="1:25" ht="30" x14ac:dyDescent="0.3">
      <c r="A162" s="171"/>
      <c r="B162" s="171"/>
      <c r="C162" s="171"/>
      <c r="D162" s="16" t="s">
        <v>2036</v>
      </c>
      <c r="E162" s="25"/>
      <c r="F162" s="25"/>
      <c r="G162" s="25"/>
      <c r="H162" s="25"/>
      <c r="I162" s="30" t="s">
        <v>2391</v>
      </c>
      <c r="J162" s="21"/>
      <c r="K162" s="9" t="s">
        <v>2030</v>
      </c>
      <c r="L162" s="9"/>
      <c r="M162" s="21"/>
      <c r="N162" s="171"/>
      <c r="O162" s="21"/>
      <c r="P162" s="15">
        <v>2</v>
      </c>
      <c r="Q162" s="15">
        <v>4</v>
      </c>
      <c r="R162" s="15">
        <v>30</v>
      </c>
      <c r="S162" s="10"/>
      <c r="T162" s="9"/>
      <c r="U162" s="21" t="s">
        <v>2361</v>
      </c>
      <c r="V162" s="21" t="s">
        <v>2362</v>
      </c>
      <c r="W162" s="21"/>
      <c r="X162" s="174"/>
      <c r="Y162" s="193"/>
    </row>
    <row r="163" spans="1:25" ht="30" x14ac:dyDescent="0.3">
      <c r="A163" s="171"/>
      <c r="B163" s="171"/>
      <c r="C163" s="171"/>
      <c r="D163" s="16" t="s">
        <v>2036</v>
      </c>
      <c r="E163" s="25"/>
      <c r="F163" s="25"/>
      <c r="G163" s="25"/>
      <c r="H163" s="25"/>
      <c r="I163" s="30" t="s">
        <v>2392</v>
      </c>
      <c r="J163" s="21"/>
      <c r="K163" s="9" t="s">
        <v>2030</v>
      </c>
      <c r="L163" s="9"/>
      <c r="M163" s="21"/>
      <c r="N163" s="171"/>
      <c r="O163" s="21"/>
      <c r="P163" s="15">
        <v>2</v>
      </c>
      <c r="Q163" s="15">
        <v>8</v>
      </c>
      <c r="R163" s="15">
        <v>80</v>
      </c>
      <c r="S163" s="10"/>
      <c r="T163" s="9"/>
      <c r="U163" s="21" t="s">
        <v>2393</v>
      </c>
      <c r="V163" s="21" t="s">
        <v>2394</v>
      </c>
      <c r="W163" s="21"/>
      <c r="X163" s="174"/>
      <c r="Y163" s="193"/>
    </row>
    <row r="164" spans="1:25" x14ac:dyDescent="0.3">
      <c r="A164" s="171"/>
      <c r="B164" s="171"/>
      <c r="C164" s="171"/>
      <c r="D164" s="16" t="s">
        <v>2036</v>
      </c>
      <c r="E164" s="25"/>
      <c r="F164" s="25"/>
      <c r="G164" s="25"/>
      <c r="H164" s="25"/>
      <c r="I164" s="30" t="s">
        <v>2395</v>
      </c>
      <c r="J164" s="21"/>
      <c r="K164" s="9" t="s">
        <v>2030</v>
      </c>
      <c r="L164" s="9"/>
      <c r="M164" s="21"/>
      <c r="N164" s="171"/>
      <c r="O164" s="21"/>
      <c r="P164" s="15">
        <v>4</v>
      </c>
      <c r="Q164" s="15">
        <v>16</v>
      </c>
      <c r="R164" s="15">
        <v>40</v>
      </c>
      <c r="S164" s="10"/>
      <c r="T164" s="9"/>
      <c r="U164" s="21" t="s">
        <v>2396</v>
      </c>
      <c r="V164" s="21" t="s">
        <v>2397</v>
      </c>
      <c r="W164" s="21"/>
      <c r="X164" s="174"/>
      <c r="Y164" s="193"/>
    </row>
    <row r="165" spans="1:25" x14ac:dyDescent="0.3">
      <c r="A165" s="171"/>
      <c r="B165" s="172"/>
      <c r="C165" s="171"/>
      <c r="D165" s="16" t="s">
        <v>2036</v>
      </c>
      <c r="E165" s="23"/>
      <c r="F165" s="23"/>
      <c r="G165" s="23"/>
      <c r="H165" s="23"/>
      <c r="I165" s="30" t="s">
        <v>2398</v>
      </c>
      <c r="J165" s="21"/>
      <c r="K165" s="9" t="s">
        <v>2030</v>
      </c>
      <c r="L165" s="9"/>
      <c r="M165" s="21"/>
      <c r="N165" s="171"/>
      <c r="O165" s="21"/>
      <c r="P165" s="15">
        <v>2</v>
      </c>
      <c r="Q165" s="15">
        <v>12</v>
      </c>
      <c r="R165" s="15">
        <v>40</v>
      </c>
      <c r="S165" s="10"/>
      <c r="T165" s="9"/>
      <c r="U165" s="21" t="s">
        <v>2399</v>
      </c>
      <c r="V165" s="21" t="s">
        <v>2400</v>
      </c>
      <c r="W165" s="21"/>
      <c r="X165" s="175"/>
      <c r="Y165" s="194"/>
    </row>
    <row r="166" spans="1:25" x14ac:dyDescent="0.3">
      <c r="A166" s="171"/>
      <c r="B166" s="170" t="s">
        <v>2401</v>
      </c>
      <c r="C166" s="171"/>
      <c r="D166" s="20" t="s">
        <v>2041</v>
      </c>
      <c r="E166" s="20"/>
      <c r="F166" s="20"/>
      <c r="G166" s="20"/>
      <c r="H166" s="20"/>
      <c r="I166" s="15"/>
      <c r="J166" s="21"/>
      <c r="K166" s="9" t="s">
        <v>2030</v>
      </c>
      <c r="L166" s="9"/>
      <c r="M166" s="21"/>
      <c r="N166" s="171"/>
      <c r="O166" s="21"/>
      <c r="P166" s="15"/>
      <c r="Q166" s="15"/>
      <c r="R166" s="15"/>
      <c r="S166" s="10"/>
      <c r="T166" s="9"/>
      <c r="U166" s="21" t="s">
        <v>2402</v>
      </c>
      <c r="V166" s="21"/>
      <c r="W166" s="14" t="s">
        <v>2033</v>
      </c>
      <c r="X166" s="173" t="s">
        <v>2403</v>
      </c>
      <c r="Y166" s="192" t="s">
        <v>2404</v>
      </c>
    </row>
    <row r="167" spans="1:25" ht="30" x14ac:dyDescent="0.3">
      <c r="A167" s="171"/>
      <c r="B167" s="171"/>
      <c r="C167" s="171"/>
      <c r="D167" s="16" t="s">
        <v>2036</v>
      </c>
      <c r="E167" s="25"/>
      <c r="F167" s="25"/>
      <c r="G167" s="25"/>
      <c r="H167" s="25"/>
      <c r="I167" s="30" t="s">
        <v>2405</v>
      </c>
      <c r="J167" s="21"/>
      <c r="K167" s="9" t="s">
        <v>2030</v>
      </c>
      <c r="L167" s="9"/>
      <c r="M167" s="21"/>
      <c r="N167" s="171"/>
      <c r="O167" s="21"/>
      <c r="P167" s="15">
        <v>2</v>
      </c>
      <c r="Q167" s="15">
        <v>8</v>
      </c>
      <c r="R167" s="15">
        <v>40</v>
      </c>
      <c r="S167" s="10"/>
      <c r="T167" s="9"/>
      <c r="U167" s="21" t="s">
        <v>2406</v>
      </c>
      <c r="V167" s="21" t="s">
        <v>2407</v>
      </c>
      <c r="W167" s="21"/>
      <c r="X167" s="174"/>
      <c r="Y167" s="193"/>
    </row>
    <row r="168" spans="1:25" x14ac:dyDescent="0.3">
      <c r="A168" s="171"/>
      <c r="B168" s="171"/>
      <c r="C168" s="171"/>
      <c r="D168" s="16" t="s">
        <v>2036</v>
      </c>
      <c r="E168" s="25"/>
      <c r="F168" s="25"/>
      <c r="G168" s="25"/>
      <c r="H168" s="25"/>
      <c r="I168" s="30" t="s">
        <v>2408</v>
      </c>
      <c r="J168" s="21"/>
      <c r="K168" s="9" t="s">
        <v>2030</v>
      </c>
      <c r="L168" s="9"/>
      <c r="M168" s="21"/>
      <c r="N168" s="171"/>
      <c r="O168" s="21"/>
      <c r="P168" s="15">
        <v>2</v>
      </c>
      <c r="Q168" s="15">
        <v>8</v>
      </c>
      <c r="R168" s="15">
        <v>40</v>
      </c>
      <c r="S168" s="10"/>
      <c r="T168" s="9"/>
      <c r="U168" s="21" t="s">
        <v>2409</v>
      </c>
      <c r="V168" s="21" t="s">
        <v>2410</v>
      </c>
      <c r="W168" s="21"/>
      <c r="X168" s="174"/>
      <c r="Y168" s="193"/>
    </row>
    <row r="169" spans="1:25" x14ac:dyDescent="0.3">
      <c r="A169" s="171"/>
      <c r="B169" s="171"/>
      <c r="C169" s="171"/>
      <c r="D169" s="16" t="s">
        <v>2036</v>
      </c>
      <c r="E169" s="25">
        <v>24</v>
      </c>
      <c r="F169" s="31">
        <f>SUM(P167:P172)/E169</f>
        <v>0.66666666666666663</v>
      </c>
      <c r="G169" s="25">
        <v>96</v>
      </c>
      <c r="H169" s="31">
        <f>SUM(Q167:Q172)/G169</f>
        <v>0.75</v>
      </c>
      <c r="I169" s="30" t="s">
        <v>2411</v>
      </c>
      <c r="J169" s="21"/>
      <c r="K169" s="9" t="s">
        <v>2030</v>
      </c>
      <c r="L169" s="9"/>
      <c r="M169" s="21"/>
      <c r="N169" s="171"/>
      <c r="O169" s="21"/>
      <c r="P169" s="15">
        <v>2</v>
      </c>
      <c r="Q169" s="15">
        <v>8</v>
      </c>
      <c r="R169" s="15">
        <v>40</v>
      </c>
      <c r="S169" s="10"/>
      <c r="T169" s="9"/>
      <c r="U169" s="21" t="s">
        <v>2412</v>
      </c>
      <c r="V169" s="21" t="s">
        <v>2413</v>
      </c>
      <c r="W169" s="21"/>
      <c r="X169" s="174"/>
      <c r="Y169" s="193"/>
    </row>
    <row r="170" spans="1:25" x14ac:dyDescent="0.3">
      <c r="A170" s="171"/>
      <c r="B170" s="171"/>
      <c r="C170" s="171"/>
      <c r="D170" s="16" t="s">
        <v>2036</v>
      </c>
      <c r="E170" s="25"/>
      <c r="F170" s="25"/>
      <c r="G170" s="25"/>
      <c r="H170" s="25"/>
      <c r="I170" s="30" t="s">
        <v>2414</v>
      </c>
      <c r="J170" s="21"/>
      <c r="K170" s="9" t="s">
        <v>2030</v>
      </c>
      <c r="L170" s="9"/>
      <c r="M170" s="21"/>
      <c r="N170" s="171"/>
      <c r="O170" s="21"/>
      <c r="P170" s="15">
        <v>2</v>
      </c>
      <c r="Q170" s="15">
        <v>16</v>
      </c>
      <c r="R170" s="15">
        <v>40</v>
      </c>
      <c r="S170" s="10"/>
      <c r="T170" s="9"/>
      <c r="U170" s="21" t="s">
        <v>2415</v>
      </c>
      <c r="V170" s="21" t="s">
        <v>2416</v>
      </c>
      <c r="W170" s="21"/>
      <c r="X170" s="174"/>
      <c r="Y170" s="193"/>
    </row>
    <row r="171" spans="1:25" x14ac:dyDescent="0.3">
      <c r="A171" s="171"/>
      <c r="B171" s="171"/>
      <c r="C171" s="171"/>
      <c r="D171" s="16" t="s">
        <v>2036</v>
      </c>
      <c r="E171" s="25"/>
      <c r="F171" s="25"/>
      <c r="G171" s="25"/>
      <c r="H171" s="25"/>
      <c r="I171" s="30" t="s">
        <v>2417</v>
      </c>
      <c r="J171" s="21"/>
      <c r="K171" s="9" t="s">
        <v>2030</v>
      </c>
      <c r="L171" s="9"/>
      <c r="M171" s="21"/>
      <c r="N171" s="171"/>
      <c r="O171" s="21"/>
      <c r="P171" s="15">
        <v>4</v>
      </c>
      <c r="Q171" s="15">
        <v>16</v>
      </c>
      <c r="R171" s="15">
        <v>80</v>
      </c>
      <c r="S171" s="10"/>
      <c r="T171" s="9"/>
      <c r="U171" s="21" t="s">
        <v>2418</v>
      </c>
      <c r="V171" s="21" t="s">
        <v>2419</v>
      </c>
      <c r="W171" s="21"/>
      <c r="X171" s="174"/>
      <c r="Y171" s="193"/>
    </row>
    <row r="172" spans="1:25" x14ac:dyDescent="0.3">
      <c r="A172" s="171"/>
      <c r="B172" s="172"/>
      <c r="C172" s="171"/>
      <c r="D172" s="16" t="s">
        <v>2036</v>
      </c>
      <c r="E172" s="23"/>
      <c r="F172" s="23"/>
      <c r="G172" s="23"/>
      <c r="H172" s="23"/>
      <c r="I172" s="30" t="s">
        <v>2420</v>
      </c>
      <c r="J172" s="21"/>
      <c r="K172" s="9" t="s">
        <v>2030</v>
      </c>
      <c r="L172" s="9"/>
      <c r="M172" s="21"/>
      <c r="N172" s="171"/>
      <c r="O172" s="21"/>
      <c r="P172" s="15">
        <v>4</v>
      </c>
      <c r="Q172" s="15">
        <v>16</v>
      </c>
      <c r="R172" s="15">
        <v>80</v>
      </c>
      <c r="S172" s="10"/>
      <c r="T172" s="9"/>
      <c r="U172" s="21" t="s">
        <v>2421</v>
      </c>
      <c r="V172" s="21" t="s">
        <v>2422</v>
      </c>
      <c r="W172" s="21"/>
      <c r="X172" s="175"/>
      <c r="Y172" s="194"/>
    </row>
    <row r="173" spans="1:25" x14ac:dyDescent="0.3">
      <c r="A173" s="171"/>
      <c r="B173" s="170" t="s">
        <v>2423</v>
      </c>
      <c r="C173" s="171"/>
      <c r="D173" s="20" t="s">
        <v>2041</v>
      </c>
      <c r="E173" s="20"/>
      <c r="F173" s="20"/>
      <c r="G173" s="20"/>
      <c r="H173" s="20"/>
      <c r="I173" s="15"/>
      <c r="J173" s="21"/>
      <c r="K173" s="9" t="s">
        <v>2030</v>
      </c>
      <c r="L173" s="9"/>
      <c r="M173" s="21"/>
      <c r="N173" s="171"/>
      <c r="O173" s="21"/>
      <c r="P173" s="15"/>
      <c r="Q173" s="15"/>
      <c r="R173" s="15"/>
      <c r="S173" s="10"/>
      <c r="T173" s="9"/>
      <c r="U173" s="21" t="s">
        <v>2424</v>
      </c>
      <c r="V173" s="21"/>
      <c r="W173" s="14" t="s">
        <v>2033</v>
      </c>
      <c r="X173" s="173" t="s">
        <v>2425</v>
      </c>
      <c r="Y173" s="192" t="s">
        <v>2426</v>
      </c>
    </row>
    <row r="174" spans="1:25" ht="30" x14ac:dyDescent="0.3">
      <c r="A174" s="171"/>
      <c r="B174" s="171"/>
      <c r="C174" s="171"/>
      <c r="D174" s="16" t="s">
        <v>2036</v>
      </c>
      <c r="E174" s="25"/>
      <c r="F174" s="25"/>
      <c r="G174" s="25"/>
      <c r="H174" s="25"/>
      <c r="I174" s="30" t="s">
        <v>2427</v>
      </c>
      <c r="J174" s="21"/>
      <c r="K174" s="9" t="s">
        <v>2030</v>
      </c>
      <c r="L174" s="9"/>
      <c r="M174" s="21"/>
      <c r="N174" s="171"/>
      <c r="O174" s="21"/>
      <c r="P174" s="15">
        <v>2</v>
      </c>
      <c r="Q174" s="15">
        <v>8</v>
      </c>
      <c r="R174" s="15">
        <v>40</v>
      </c>
      <c r="S174" s="10"/>
      <c r="T174" s="9"/>
      <c r="U174" s="21" t="s">
        <v>2428</v>
      </c>
      <c r="V174" s="21" t="s">
        <v>2429</v>
      </c>
      <c r="W174" s="21"/>
      <c r="X174" s="174"/>
      <c r="Y174" s="193"/>
    </row>
    <row r="175" spans="1:25" ht="30" x14ac:dyDescent="0.3">
      <c r="A175" s="171"/>
      <c r="B175" s="171"/>
      <c r="C175" s="171"/>
      <c r="D175" s="16" t="s">
        <v>2036</v>
      </c>
      <c r="E175" s="25"/>
      <c r="F175" s="25"/>
      <c r="G175" s="25"/>
      <c r="H175" s="25"/>
      <c r="I175" s="30" t="s">
        <v>2430</v>
      </c>
      <c r="J175" s="21"/>
      <c r="K175" s="9" t="s">
        <v>2030</v>
      </c>
      <c r="L175" s="9"/>
      <c r="M175" s="21"/>
      <c r="N175" s="171"/>
      <c r="O175" s="21"/>
      <c r="P175" s="15">
        <v>2</v>
      </c>
      <c r="Q175" s="15">
        <v>8</v>
      </c>
      <c r="R175" s="15">
        <v>40</v>
      </c>
      <c r="S175" s="10"/>
      <c r="T175" s="9"/>
      <c r="U175" s="21" t="s">
        <v>2431</v>
      </c>
      <c r="V175" s="21" t="s">
        <v>2432</v>
      </c>
      <c r="W175" s="21"/>
      <c r="X175" s="174"/>
      <c r="Y175" s="193"/>
    </row>
    <row r="176" spans="1:25" x14ac:dyDescent="0.3">
      <c r="A176" s="171"/>
      <c r="B176" s="171"/>
      <c r="C176" s="171"/>
      <c r="D176" s="16" t="s">
        <v>2036</v>
      </c>
      <c r="E176" s="25">
        <v>24</v>
      </c>
      <c r="F176" s="31">
        <f>SUM(P174:P180)/E176</f>
        <v>0.66666666666666663</v>
      </c>
      <c r="G176" s="25">
        <v>96</v>
      </c>
      <c r="H176" s="31">
        <f>SUM(Q174:Q180)/G176</f>
        <v>0.66666666666666663</v>
      </c>
      <c r="I176" s="30" t="s">
        <v>2336</v>
      </c>
      <c r="J176" s="21"/>
      <c r="K176" s="9" t="s">
        <v>2030</v>
      </c>
      <c r="L176" s="9"/>
      <c r="M176" s="21"/>
      <c r="N176" s="171"/>
      <c r="O176" s="21"/>
      <c r="P176" s="15">
        <v>2</v>
      </c>
      <c r="Q176" s="15">
        <v>8</v>
      </c>
      <c r="R176" s="15">
        <v>40</v>
      </c>
      <c r="S176" s="10"/>
      <c r="T176" s="9"/>
      <c r="U176" s="21" t="s">
        <v>2433</v>
      </c>
      <c r="V176" s="21" t="s">
        <v>2434</v>
      </c>
      <c r="W176" s="21"/>
      <c r="X176" s="174"/>
      <c r="Y176" s="193"/>
    </row>
    <row r="177" spans="1:25" x14ac:dyDescent="0.3">
      <c r="A177" s="171"/>
      <c r="B177" s="171"/>
      <c r="C177" s="171"/>
      <c r="D177" s="16" t="s">
        <v>2036</v>
      </c>
      <c r="E177" s="25"/>
      <c r="F177" s="25"/>
      <c r="G177" s="25"/>
      <c r="H177" s="25"/>
      <c r="I177" s="30" t="s">
        <v>2435</v>
      </c>
      <c r="J177" s="21"/>
      <c r="K177" s="9" t="s">
        <v>2030</v>
      </c>
      <c r="L177" s="9"/>
      <c r="M177" s="21"/>
      <c r="N177" s="171"/>
      <c r="O177" s="21"/>
      <c r="P177" s="15">
        <v>2</v>
      </c>
      <c r="Q177" s="15">
        <v>8</v>
      </c>
      <c r="R177" s="15">
        <v>40</v>
      </c>
      <c r="S177" s="10"/>
      <c r="T177" s="9"/>
      <c r="U177" s="21" t="s">
        <v>2436</v>
      </c>
      <c r="V177" s="21" t="s">
        <v>2437</v>
      </c>
      <c r="W177" s="21"/>
      <c r="X177" s="174"/>
      <c r="Y177" s="193"/>
    </row>
    <row r="178" spans="1:25" ht="30" x14ac:dyDescent="0.3">
      <c r="A178" s="171"/>
      <c r="B178" s="171"/>
      <c r="C178" s="171"/>
      <c r="D178" s="16" t="s">
        <v>2036</v>
      </c>
      <c r="E178" s="25"/>
      <c r="F178" s="25"/>
      <c r="G178" s="25"/>
      <c r="H178" s="25"/>
      <c r="I178" s="30" t="s">
        <v>2438</v>
      </c>
      <c r="J178" s="21"/>
      <c r="K178" s="9" t="s">
        <v>2030</v>
      </c>
      <c r="L178" s="9"/>
      <c r="M178" s="21"/>
      <c r="N178" s="171"/>
      <c r="O178" s="21"/>
      <c r="P178" s="15">
        <v>2</v>
      </c>
      <c r="Q178" s="15">
        <v>8</v>
      </c>
      <c r="R178" s="15">
        <v>40</v>
      </c>
      <c r="S178" s="10"/>
      <c r="T178" s="9"/>
      <c r="U178" s="21" t="s">
        <v>2439</v>
      </c>
      <c r="V178" s="21" t="s">
        <v>2440</v>
      </c>
      <c r="W178" s="21"/>
      <c r="X178" s="174"/>
      <c r="Y178" s="193"/>
    </row>
    <row r="179" spans="1:25" x14ac:dyDescent="0.3">
      <c r="A179" s="171"/>
      <c r="B179" s="171"/>
      <c r="C179" s="171"/>
      <c r="D179" s="16" t="s">
        <v>2036</v>
      </c>
      <c r="E179" s="25"/>
      <c r="F179" s="25"/>
      <c r="G179" s="25"/>
      <c r="H179" s="25"/>
      <c r="I179" s="30" t="s">
        <v>2441</v>
      </c>
      <c r="J179" s="21"/>
      <c r="K179" s="9" t="s">
        <v>2030</v>
      </c>
      <c r="L179" s="9"/>
      <c r="M179" s="21"/>
      <c r="N179" s="171"/>
      <c r="O179" s="21"/>
      <c r="P179" s="15">
        <v>2</v>
      </c>
      <c r="Q179" s="15">
        <v>8</v>
      </c>
      <c r="R179" s="15">
        <v>40</v>
      </c>
      <c r="S179" s="10"/>
      <c r="T179" s="9"/>
      <c r="U179" s="21" t="s">
        <v>2442</v>
      </c>
      <c r="V179" s="21" t="s">
        <v>2443</v>
      </c>
      <c r="W179" s="21"/>
      <c r="X179" s="174"/>
      <c r="Y179" s="193"/>
    </row>
    <row r="180" spans="1:25" x14ac:dyDescent="0.3">
      <c r="A180" s="172"/>
      <c r="B180" s="172"/>
      <c r="C180" s="172"/>
      <c r="D180" s="16" t="s">
        <v>2036</v>
      </c>
      <c r="E180" s="23"/>
      <c r="F180" s="23"/>
      <c r="G180" s="23"/>
      <c r="H180" s="23"/>
      <c r="I180" s="30" t="s">
        <v>2444</v>
      </c>
      <c r="J180" s="21"/>
      <c r="K180" s="9" t="s">
        <v>2030</v>
      </c>
      <c r="L180" s="9"/>
      <c r="M180" s="21"/>
      <c r="N180" s="172"/>
      <c r="O180" s="21"/>
      <c r="P180" s="15">
        <v>4</v>
      </c>
      <c r="Q180" s="15">
        <v>16</v>
      </c>
      <c r="R180" s="15">
        <v>80</v>
      </c>
      <c r="S180" s="10"/>
      <c r="T180" s="9"/>
      <c r="U180" s="21" t="s">
        <v>2445</v>
      </c>
      <c r="V180" s="21" t="s">
        <v>2446</v>
      </c>
      <c r="W180" s="21"/>
      <c r="X180" s="175"/>
      <c r="Y180" s="194"/>
    </row>
    <row r="181" spans="1:25" x14ac:dyDescent="0.3">
      <c r="A181" s="170" t="s">
        <v>2026</v>
      </c>
      <c r="B181" s="170" t="s">
        <v>2447</v>
      </c>
      <c r="C181" s="170" t="s">
        <v>2448</v>
      </c>
      <c r="D181" s="20" t="s">
        <v>2029</v>
      </c>
      <c r="E181" s="20"/>
      <c r="F181" s="20"/>
      <c r="G181" s="20"/>
      <c r="H181" s="20"/>
      <c r="I181" s="15"/>
      <c r="J181" s="21"/>
      <c r="K181" s="9" t="s">
        <v>2030</v>
      </c>
      <c r="L181" s="9"/>
      <c r="M181" s="21"/>
      <c r="N181" s="170" t="s">
        <v>2337</v>
      </c>
      <c r="O181" s="21"/>
      <c r="P181" s="15"/>
      <c r="Q181" s="15"/>
      <c r="R181" s="15"/>
      <c r="S181" s="10"/>
      <c r="T181" s="9"/>
      <c r="U181" s="21" t="s">
        <v>2449</v>
      </c>
      <c r="V181" s="21"/>
      <c r="W181" s="14" t="s">
        <v>2033</v>
      </c>
      <c r="X181" s="173" t="s">
        <v>2450</v>
      </c>
      <c r="Y181" s="192" t="s">
        <v>2451</v>
      </c>
    </row>
    <row r="182" spans="1:25" ht="30" x14ac:dyDescent="0.3">
      <c r="A182" s="171"/>
      <c r="B182" s="171"/>
      <c r="C182" s="171"/>
      <c r="D182" s="16" t="s">
        <v>2036</v>
      </c>
      <c r="E182" s="25"/>
      <c r="F182" s="25"/>
      <c r="G182" s="25"/>
      <c r="H182" s="25"/>
      <c r="I182" s="30" t="s">
        <v>2452</v>
      </c>
      <c r="J182" s="21"/>
      <c r="K182" s="9" t="s">
        <v>2030</v>
      </c>
      <c r="L182" s="9"/>
      <c r="M182" s="21"/>
      <c r="N182" s="171"/>
      <c r="O182" s="21"/>
      <c r="P182" s="15">
        <v>2</v>
      </c>
      <c r="Q182" s="15">
        <v>8</v>
      </c>
      <c r="R182" s="15">
        <v>40</v>
      </c>
      <c r="S182" s="10"/>
      <c r="T182" s="9"/>
      <c r="U182" s="21" t="s">
        <v>2453</v>
      </c>
      <c r="V182" s="21" t="s">
        <v>2454</v>
      </c>
      <c r="W182" s="21"/>
      <c r="X182" s="174"/>
      <c r="Y182" s="193"/>
    </row>
    <row r="183" spans="1:25" ht="30" x14ac:dyDescent="0.3">
      <c r="A183" s="171"/>
      <c r="B183" s="171"/>
      <c r="C183" s="171"/>
      <c r="D183" s="16" t="s">
        <v>2036</v>
      </c>
      <c r="E183" s="25"/>
      <c r="F183" s="25"/>
      <c r="G183" s="25"/>
      <c r="H183" s="25"/>
      <c r="I183" s="30" t="s">
        <v>2455</v>
      </c>
      <c r="J183" s="21"/>
      <c r="K183" s="9" t="s">
        <v>2030</v>
      </c>
      <c r="L183" s="9"/>
      <c r="M183" s="21"/>
      <c r="N183" s="171"/>
      <c r="O183" s="21"/>
      <c r="P183" s="15">
        <v>2</v>
      </c>
      <c r="Q183" s="15">
        <v>8</v>
      </c>
      <c r="R183" s="15">
        <v>40</v>
      </c>
      <c r="S183" s="10"/>
      <c r="T183" s="9"/>
      <c r="U183" s="21" t="s">
        <v>2456</v>
      </c>
      <c r="V183" s="21" t="s">
        <v>2457</v>
      </c>
      <c r="W183" s="21"/>
      <c r="X183" s="174"/>
      <c r="Y183" s="193"/>
    </row>
    <row r="184" spans="1:25" x14ac:dyDescent="0.3">
      <c r="A184" s="171"/>
      <c r="B184" s="171"/>
      <c r="C184" s="171"/>
      <c r="D184" s="16" t="s">
        <v>2036</v>
      </c>
      <c r="E184" s="25">
        <v>24</v>
      </c>
      <c r="F184" s="31">
        <f>SUM(P182:P187)/E184</f>
        <v>0.5</v>
      </c>
      <c r="G184" s="25">
        <v>96</v>
      </c>
      <c r="H184" s="31">
        <f>SUM(Q182:Q187)/G184</f>
        <v>0.52083333333333337</v>
      </c>
      <c r="I184" s="30" t="s">
        <v>2458</v>
      </c>
      <c r="J184" s="21"/>
      <c r="K184" s="9" t="s">
        <v>2030</v>
      </c>
      <c r="L184" s="9"/>
      <c r="M184" s="21"/>
      <c r="N184" s="171"/>
      <c r="O184" s="21"/>
      <c r="P184" s="15">
        <v>2</v>
      </c>
      <c r="Q184" s="15">
        <v>2</v>
      </c>
      <c r="R184" s="15">
        <v>90</v>
      </c>
      <c r="S184" s="10"/>
      <c r="T184" s="9"/>
      <c r="U184" s="21" t="s">
        <v>2459</v>
      </c>
      <c r="V184" s="21" t="s">
        <v>2460</v>
      </c>
      <c r="W184" s="21"/>
      <c r="X184" s="174"/>
      <c r="Y184" s="193"/>
    </row>
    <row r="185" spans="1:25" x14ac:dyDescent="0.3">
      <c r="A185" s="171"/>
      <c r="B185" s="171"/>
      <c r="C185" s="171"/>
      <c r="D185" s="16" t="s">
        <v>2036</v>
      </c>
      <c r="E185" s="25"/>
      <c r="F185" s="25"/>
      <c r="G185" s="25"/>
      <c r="H185" s="25"/>
      <c r="I185" s="30" t="s">
        <v>2461</v>
      </c>
      <c r="J185" s="21"/>
      <c r="K185" s="9" t="s">
        <v>2030</v>
      </c>
      <c r="L185" s="9"/>
      <c r="M185" s="21"/>
      <c r="N185" s="171"/>
      <c r="O185" s="21"/>
      <c r="P185" s="15">
        <v>2</v>
      </c>
      <c r="Q185" s="15">
        <v>8</v>
      </c>
      <c r="R185" s="15">
        <v>40</v>
      </c>
      <c r="S185" s="10"/>
      <c r="T185" s="9"/>
      <c r="U185" s="21" t="s">
        <v>2462</v>
      </c>
      <c r="V185" s="21" t="s">
        <v>2463</v>
      </c>
      <c r="W185" s="21"/>
      <c r="X185" s="174"/>
      <c r="Y185" s="193"/>
    </row>
    <row r="186" spans="1:25" x14ac:dyDescent="0.3">
      <c r="A186" s="171"/>
      <c r="B186" s="171"/>
      <c r="C186" s="171"/>
      <c r="D186" s="16" t="s">
        <v>2036</v>
      </c>
      <c r="E186" s="25"/>
      <c r="F186" s="25"/>
      <c r="G186" s="25"/>
      <c r="H186" s="25"/>
      <c r="I186" s="30" t="s">
        <v>2448</v>
      </c>
      <c r="J186" s="21"/>
      <c r="K186" s="9" t="s">
        <v>2030</v>
      </c>
      <c r="L186" s="9"/>
      <c r="M186" s="21"/>
      <c r="N186" s="171"/>
      <c r="O186" s="21"/>
      <c r="P186" s="15">
        <v>2</v>
      </c>
      <c r="Q186" s="15">
        <v>8</v>
      </c>
      <c r="R186" s="15">
        <v>40</v>
      </c>
      <c r="S186" s="10"/>
      <c r="T186" s="9"/>
      <c r="U186" s="21" t="s">
        <v>2464</v>
      </c>
      <c r="V186" s="21" t="s">
        <v>2465</v>
      </c>
      <c r="W186" s="21"/>
      <c r="X186" s="174"/>
      <c r="Y186" s="193"/>
    </row>
    <row r="187" spans="1:25" x14ac:dyDescent="0.3">
      <c r="A187" s="171"/>
      <c r="B187" s="172"/>
      <c r="C187" s="171"/>
      <c r="D187" s="16" t="s">
        <v>2036</v>
      </c>
      <c r="E187" s="23"/>
      <c r="F187" s="23"/>
      <c r="G187" s="23"/>
      <c r="H187" s="23"/>
      <c r="I187" s="30" t="s">
        <v>2466</v>
      </c>
      <c r="J187" s="21"/>
      <c r="K187" s="9" t="s">
        <v>2030</v>
      </c>
      <c r="L187" s="9"/>
      <c r="M187" s="21"/>
      <c r="N187" s="171"/>
      <c r="O187" s="21"/>
      <c r="P187" s="15">
        <v>2</v>
      </c>
      <c r="Q187" s="15">
        <v>16</v>
      </c>
      <c r="R187" s="15">
        <v>40</v>
      </c>
      <c r="S187" s="10"/>
      <c r="T187" s="9"/>
      <c r="U187" s="21" t="s">
        <v>2467</v>
      </c>
      <c r="V187" s="21" t="s">
        <v>2468</v>
      </c>
      <c r="W187" s="21"/>
      <c r="X187" s="175"/>
      <c r="Y187" s="194"/>
    </row>
    <row r="188" spans="1:25" x14ac:dyDescent="0.3">
      <c r="A188" s="171"/>
      <c r="B188" s="170" t="s">
        <v>2469</v>
      </c>
      <c r="C188" s="171"/>
      <c r="D188" s="20" t="s">
        <v>2041</v>
      </c>
      <c r="E188" s="20"/>
      <c r="F188" s="20"/>
      <c r="G188" s="20"/>
      <c r="H188" s="20"/>
      <c r="I188" s="15"/>
      <c r="J188" s="21"/>
      <c r="K188" s="9" t="s">
        <v>2030</v>
      </c>
      <c r="L188" s="9"/>
      <c r="M188" s="21"/>
      <c r="N188" s="171"/>
      <c r="O188" s="21"/>
      <c r="P188" s="15"/>
      <c r="Q188" s="15"/>
      <c r="R188" s="15"/>
      <c r="S188" s="10"/>
      <c r="T188" s="9"/>
      <c r="U188" s="21" t="s">
        <v>2470</v>
      </c>
      <c r="V188" s="21"/>
      <c r="W188" s="14" t="s">
        <v>2033</v>
      </c>
      <c r="X188" s="173" t="s">
        <v>2471</v>
      </c>
      <c r="Y188" s="192" t="s">
        <v>2472</v>
      </c>
    </row>
    <row r="189" spans="1:25" ht="30" x14ac:dyDescent="0.3">
      <c r="A189" s="171"/>
      <c r="B189" s="171"/>
      <c r="C189" s="171"/>
      <c r="D189" s="16" t="s">
        <v>2036</v>
      </c>
      <c r="E189" s="25"/>
      <c r="F189" s="25"/>
      <c r="G189" s="25"/>
      <c r="H189" s="25"/>
      <c r="I189" s="30" t="s">
        <v>2473</v>
      </c>
      <c r="J189" s="21"/>
      <c r="K189" s="9" t="s">
        <v>2030</v>
      </c>
      <c r="L189" s="9"/>
      <c r="M189" s="21"/>
      <c r="N189" s="171"/>
      <c r="O189" s="21"/>
      <c r="P189" s="15">
        <v>2</v>
      </c>
      <c r="Q189" s="15">
        <v>8</v>
      </c>
      <c r="R189" s="15">
        <v>40</v>
      </c>
      <c r="S189" s="10"/>
      <c r="T189" s="9"/>
      <c r="U189" s="21" t="s">
        <v>2474</v>
      </c>
      <c r="V189" s="21" t="s">
        <v>2475</v>
      </c>
      <c r="W189" s="21"/>
      <c r="X189" s="174"/>
      <c r="Y189" s="193"/>
    </row>
    <row r="190" spans="1:25" ht="30" x14ac:dyDescent="0.3">
      <c r="A190" s="171"/>
      <c r="B190" s="171"/>
      <c r="C190" s="171"/>
      <c r="D190" s="16" t="s">
        <v>2036</v>
      </c>
      <c r="E190" s="25"/>
      <c r="F190" s="25"/>
      <c r="G190" s="25"/>
      <c r="H190" s="25"/>
      <c r="I190" s="30" t="s">
        <v>2476</v>
      </c>
      <c r="J190" s="21"/>
      <c r="K190" s="9" t="s">
        <v>2030</v>
      </c>
      <c r="L190" s="9"/>
      <c r="M190" s="21"/>
      <c r="N190" s="171"/>
      <c r="O190" s="21"/>
      <c r="P190" s="15">
        <v>2</v>
      </c>
      <c r="Q190" s="15">
        <v>8</v>
      </c>
      <c r="R190" s="15">
        <v>40</v>
      </c>
      <c r="S190" s="10"/>
      <c r="T190" s="9"/>
      <c r="U190" s="21" t="s">
        <v>2477</v>
      </c>
      <c r="V190" s="21" t="s">
        <v>2478</v>
      </c>
      <c r="W190" s="21"/>
      <c r="X190" s="174"/>
      <c r="Y190" s="193"/>
    </row>
    <row r="191" spans="1:25" x14ac:dyDescent="0.3">
      <c r="A191" s="171"/>
      <c r="B191" s="171"/>
      <c r="C191" s="171"/>
      <c r="D191" s="16" t="s">
        <v>2036</v>
      </c>
      <c r="E191" s="25">
        <v>24</v>
      </c>
      <c r="F191" s="31">
        <f>SUM(P189:P194)/E191</f>
        <v>0.5</v>
      </c>
      <c r="G191" s="25">
        <v>96</v>
      </c>
      <c r="H191" s="31">
        <f>SUM(Q189:Q194)/G191</f>
        <v>0.54166666666666663</v>
      </c>
      <c r="I191" s="30" t="s">
        <v>2479</v>
      </c>
      <c r="J191" s="21"/>
      <c r="K191" s="9" t="s">
        <v>2030</v>
      </c>
      <c r="L191" s="9"/>
      <c r="M191" s="21"/>
      <c r="N191" s="171"/>
      <c r="O191" s="21"/>
      <c r="P191" s="15">
        <v>2</v>
      </c>
      <c r="Q191" s="15">
        <v>8</v>
      </c>
      <c r="R191" s="15">
        <v>40</v>
      </c>
      <c r="S191" s="10"/>
      <c r="T191" s="9"/>
      <c r="U191" s="21" t="s">
        <v>2480</v>
      </c>
      <c r="V191" s="21" t="s">
        <v>2481</v>
      </c>
      <c r="W191" s="21"/>
      <c r="X191" s="174"/>
      <c r="Y191" s="193"/>
    </row>
    <row r="192" spans="1:25" x14ac:dyDescent="0.3">
      <c r="A192" s="171"/>
      <c r="B192" s="171"/>
      <c r="C192" s="171"/>
      <c r="D192" s="16" t="s">
        <v>2036</v>
      </c>
      <c r="E192" s="25"/>
      <c r="F192" s="25"/>
      <c r="G192" s="25"/>
      <c r="H192" s="25"/>
      <c r="I192" s="30" t="s">
        <v>2482</v>
      </c>
      <c r="J192" s="21"/>
      <c r="K192" s="9" t="s">
        <v>2030</v>
      </c>
      <c r="L192" s="9"/>
      <c r="M192" s="21"/>
      <c r="N192" s="171"/>
      <c r="O192" s="21"/>
      <c r="P192" s="15">
        <v>2</v>
      </c>
      <c r="Q192" s="15">
        <v>4</v>
      </c>
      <c r="R192" s="15"/>
      <c r="S192" s="10"/>
      <c r="T192" s="9"/>
      <c r="U192" s="21" t="s">
        <v>2483</v>
      </c>
      <c r="V192" s="21" t="s">
        <v>2484</v>
      </c>
      <c r="W192" s="21"/>
      <c r="X192" s="174"/>
      <c r="Y192" s="193"/>
    </row>
    <row r="193" spans="1:25" x14ac:dyDescent="0.3">
      <c r="A193" s="171"/>
      <c r="B193" s="171"/>
      <c r="C193" s="171"/>
      <c r="D193" s="16" t="s">
        <v>2036</v>
      </c>
      <c r="E193" s="25"/>
      <c r="F193" s="25"/>
      <c r="G193" s="25"/>
      <c r="H193" s="25"/>
      <c r="I193" s="30" t="s">
        <v>2485</v>
      </c>
      <c r="J193" s="21"/>
      <c r="K193" s="9" t="s">
        <v>2030</v>
      </c>
      <c r="L193" s="9"/>
      <c r="M193" s="21"/>
      <c r="N193" s="171"/>
      <c r="O193" s="21"/>
      <c r="P193" s="15">
        <v>2</v>
      </c>
      <c r="Q193" s="15">
        <v>8</v>
      </c>
      <c r="R193" s="15">
        <v>40</v>
      </c>
      <c r="S193" s="10"/>
      <c r="T193" s="9"/>
      <c r="U193" s="21" t="s">
        <v>2486</v>
      </c>
      <c r="V193" s="21" t="s">
        <v>2487</v>
      </c>
      <c r="W193" s="21"/>
      <c r="X193" s="174"/>
      <c r="Y193" s="193"/>
    </row>
    <row r="194" spans="1:25" x14ac:dyDescent="0.3">
      <c r="A194" s="171"/>
      <c r="B194" s="172"/>
      <c r="C194" s="171"/>
      <c r="D194" s="16" t="s">
        <v>2036</v>
      </c>
      <c r="E194" s="23"/>
      <c r="F194" s="23"/>
      <c r="G194" s="23"/>
      <c r="H194" s="23"/>
      <c r="I194" s="30" t="s">
        <v>2488</v>
      </c>
      <c r="J194" s="21"/>
      <c r="K194" s="9" t="s">
        <v>2030</v>
      </c>
      <c r="L194" s="9"/>
      <c r="M194" s="21"/>
      <c r="N194" s="171"/>
      <c r="O194" s="21"/>
      <c r="P194" s="15">
        <v>2</v>
      </c>
      <c r="Q194" s="15">
        <v>16</v>
      </c>
      <c r="R194" s="15">
        <v>40</v>
      </c>
      <c r="S194" s="10"/>
      <c r="T194" s="9"/>
      <c r="U194" s="21" t="s">
        <v>2489</v>
      </c>
      <c r="V194" s="21" t="s">
        <v>2490</v>
      </c>
      <c r="W194" s="21"/>
      <c r="X194" s="175"/>
      <c r="Y194" s="194"/>
    </row>
    <row r="195" spans="1:25" x14ac:dyDescent="0.3">
      <c r="A195" s="171"/>
      <c r="B195" s="170" t="s">
        <v>2491</v>
      </c>
      <c r="C195" s="171"/>
      <c r="D195" s="20" t="s">
        <v>2041</v>
      </c>
      <c r="E195" s="20"/>
      <c r="F195" s="20"/>
      <c r="G195" s="20"/>
      <c r="H195" s="20"/>
      <c r="I195" s="15"/>
      <c r="J195" s="21"/>
      <c r="K195" s="9" t="s">
        <v>2030</v>
      </c>
      <c r="L195" s="9"/>
      <c r="M195" s="21"/>
      <c r="N195" s="171"/>
      <c r="O195" s="21"/>
      <c r="P195" s="15"/>
      <c r="Q195" s="15"/>
      <c r="R195" s="15"/>
      <c r="S195" s="10"/>
      <c r="T195" s="9"/>
      <c r="U195" s="21" t="s">
        <v>2492</v>
      </c>
      <c r="V195" s="21"/>
      <c r="W195" s="14" t="s">
        <v>2033</v>
      </c>
      <c r="X195" s="173" t="s">
        <v>2493</v>
      </c>
      <c r="Y195" s="192" t="s">
        <v>2494</v>
      </c>
    </row>
    <row r="196" spans="1:25" ht="30" x14ac:dyDescent="0.3">
      <c r="A196" s="171"/>
      <c r="B196" s="171"/>
      <c r="C196" s="171"/>
      <c r="D196" s="16" t="s">
        <v>2036</v>
      </c>
      <c r="E196" s="25"/>
      <c r="F196" s="25"/>
      <c r="G196" s="25"/>
      <c r="H196" s="25"/>
      <c r="I196" s="30" t="s">
        <v>2495</v>
      </c>
      <c r="J196" s="21"/>
      <c r="K196" s="9" t="s">
        <v>2030</v>
      </c>
      <c r="L196" s="9"/>
      <c r="M196" s="21"/>
      <c r="N196" s="171"/>
      <c r="O196" s="21"/>
      <c r="P196" s="15">
        <v>2</v>
      </c>
      <c r="Q196" s="15">
        <v>8</v>
      </c>
      <c r="R196" s="15">
        <v>40</v>
      </c>
      <c r="S196" s="10"/>
      <c r="T196" s="9"/>
      <c r="U196" s="21" t="s">
        <v>2496</v>
      </c>
      <c r="V196" s="21" t="s">
        <v>2497</v>
      </c>
      <c r="W196" s="21"/>
      <c r="X196" s="174"/>
      <c r="Y196" s="193"/>
    </row>
    <row r="197" spans="1:25" ht="30" x14ac:dyDescent="0.3">
      <c r="A197" s="171"/>
      <c r="B197" s="171"/>
      <c r="C197" s="171"/>
      <c r="D197" s="16" t="s">
        <v>2036</v>
      </c>
      <c r="E197" s="25"/>
      <c r="F197" s="25"/>
      <c r="G197" s="25"/>
      <c r="H197" s="25"/>
      <c r="I197" s="30" t="s">
        <v>2498</v>
      </c>
      <c r="J197" s="21"/>
      <c r="K197" s="9" t="s">
        <v>2030</v>
      </c>
      <c r="L197" s="9"/>
      <c r="M197" s="21"/>
      <c r="N197" s="171"/>
      <c r="O197" s="21"/>
      <c r="P197" s="15">
        <v>2</v>
      </c>
      <c r="Q197" s="15">
        <v>8</v>
      </c>
      <c r="R197" s="15">
        <v>40</v>
      </c>
      <c r="S197" s="10"/>
      <c r="T197" s="9"/>
      <c r="U197" s="21" t="s">
        <v>2499</v>
      </c>
      <c r="V197" s="21" t="s">
        <v>2500</v>
      </c>
      <c r="W197" s="21"/>
      <c r="X197" s="174"/>
      <c r="Y197" s="193"/>
    </row>
    <row r="198" spans="1:25" ht="30" x14ac:dyDescent="0.3">
      <c r="A198" s="171"/>
      <c r="B198" s="171"/>
      <c r="C198" s="171"/>
      <c r="D198" s="16" t="s">
        <v>2036</v>
      </c>
      <c r="E198" s="25">
        <v>24</v>
      </c>
      <c r="F198" s="31">
        <f>SUM(P196:P201)/E198</f>
        <v>0.5</v>
      </c>
      <c r="G198" s="25">
        <v>96</v>
      </c>
      <c r="H198" s="31">
        <f>SUM(Q196:Q201)/G198</f>
        <v>0.83333333333333337</v>
      </c>
      <c r="I198" s="30" t="s">
        <v>2501</v>
      </c>
      <c r="J198" s="21"/>
      <c r="K198" s="9" t="s">
        <v>2030</v>
      </c>
      <c r="L198" s="9"/>
      <c r="M198" s="21"/>
      <c r="N198" s="171"/>
      <c r="O198" s="21"/>
      <c r="P198" s="15">
        <v>2</v>
      </c>
      <c r="Q198" s="15">
        <v>8</v>
      </c>
      <c r="R198" s="15">
        <v>40</v>
      </c>
      <c r="S198" s="10"/>
      <c r="T198" s="9"/>
      <c r="U198" s="21" t="s">
        <v>2502</v>
      </c>
      <c r="V198" s="21" t="s">
        <v>2503</v>
      </c>
      <c r="W198" s="21"/>
      <c r="X198" s="174"/>
      <c r="Y198" s="193"/>
    </row>
    <row r="199" spans="1:25" x14ac:dyDescent="0.3">
      <c r="A199" s="171"/>
      <c r="B199" s="171"/>
      <c r="C199" s="171"/>
      <c r="D199" s="16" t="s">
        <v>2036</v>
      </c>
      <c r="E199" s="25"/>
      <c r="F199" s="25"/>
      <c r="G199" s="25"/>
      <c r="H199" s="25"/>
      <c r="I199" s="30" t="s">
        <v>2504</v>
      </c>
      <c r="J199" s="21"/>
      <c r="K199" s="9" t="s">
        <v>2030</v>
      </c>
      <c r="L199" s="9"/>
      <c r="M199" s="21"/>
      <c r="N199" s="171"/>
      <c r="O199" s="21"/>
      <c r="P199" s="15">
        <v>2</v>
      </c>
      <c r="Q199" s="15">
        <v>24</v>
      </c>
      <c r="R199" s="15">
        <v>40</v>
      </c>
      <c r="S199" s="10"/>
      <c r="T199" s="9"/>
      <c r="U199" s="21" t="s">
        <v>2505</v>
      </c>
      <c r="V199" s="21" t="s">
        <v>2506</v>
      </c>
      <c r="W199" s="21"/>
      <c r="X199" s="174"/>
      <c r="Y199" s="193"/>
    </row>
    <row r="200" spans="1:25" x14ac:dyDescent="0.3">
      <c r="A200" s="171"/>
      <c r="B200" s="171"/>
      <c r="C200" s="171"/>
      <c r="D200" s="16" t="s">
        <v>2036</v>
      </c>
      <c r="E200" s="25"/>
      <c r="F200" s="25"/>
      <c r="G200" s="25"/>
      <c r="H200" s="25"/>
      <c r="I200" s="30" t="s">
        <v>2507</v>
      </c>
      <c r="J200" s="21"/>
      <c r="K200" s="9" t="s">
        <v>2030</v>
      </c>
      <c r="L200" s="9"/>
      <c r="M200" s="21"/>
      <c r="N200" s="171"/>
      <c r="O200" s="21"/>
      <c r="P200" s="15">
        <v>2</v>
      </c>
      <c r="Q200" s="15">
        <v>8</v>
      </c>
      <c r="R200" s="15">
        <v>40</v>
      </c>
      <c r="S200" s="10"/>
      <c r="T200" s="9"/>
      <c r="U200" s="21" t="s">
        <v>2508</v>
      </c>
      <c r="V200" s="21" t="s">
        <v>2509</v>
      </c>
      <c r="W200" s="21"/>
      <c r="X200" s="174"/>
      <c r="Y200" s="193"/>
    </row>
    <row r="201" spans="1:25" ht="30" x14ac:dyDescent="0.3">
      <c r="A201" s="171"/>
      <c r="B201" s="172"/>
      <c r="C201" s="171"/>
      <c r="D201" s="16" t="s">
        <v>2036</v>
      </c>
      <c r="E201" s="23"/>
      <c r="F201" s="23"/>
      <c r="G201" s="23"/>
      <c r="H201" s="23"/>
      <c r="I201" s="30" t="s">
        <v>2510</v>
      </c>
      <c r="J201" s="21"/>
      <c r="K201" s="9" t="s">
        <v>2030</v>
      </c>
      <c r="L201" s="9"/>
      <c r="M201" s="21"/>
      <c r="N201" s="171"/>
      <c r="O201" s="21"/>
      <c r="P201" s="15">
        <v>2</v>
      </c>
      <c r="Q201" s="15">
        <v>24</v>
      </c>
      <c r="R201" s="15">
        <v>40</v>
      </c>
      <c r="S201" s="10"/>
      <c r="T201" s="9"/>
      <c r="U201" s="21" t="s">
        <v>2511</v>
      </c>
      <c r="V201" s="21" t="s">
        <v>2512</v>
      </c>
      <c r="W201" s="21"/>
      <c r="X201" s="175"/>
      <c r="Y201" s="194"/>
    </row>
    <row r="202" spans="1:25" x14ac:dyDescent="0.3">
      <c r="A202" s="171"/>
      <c r="B202" s="170" t="s">
        <v>2513</v>
      </c>
      <c r="C202" s="171"/>
      <c r="D202" s="20" t="s">
        <v>2041</v>
      </c>
      <c r="E202" s="20"/>
      <c r="F202" s="20"/>
      <c r="G202" s="20"/>
      <c r="H202" s="20"/>
      <c r="I202" s="15"/>
      <c r="J202" s="21"/>
      <c r="K202" s="9" t="s">
        <v>2030</v>
      </c>
      <c r="L202" s="9"/>
      <c r="M202" s="21"/>
      <c r="N202" s="171"/>
      <c r="O202" s="21"/>
      <c r="P202" s="15"/>
      <c r="Q202" s="15"/>
      <c r="R202" s="15"/>
      <c r="S202" s="10"/>
      <c r="T202" s="9"/>
      <c r="U202" s="21" t="s">
        <v>2514</v>
      </c>
      <c r="V202" s="21"/>
      <c r="W202" s="14" t="s">
        <v>2033</v>
      </c>
      <c r="X202" s="173" t="s">
        <v>2515</v>
      </c>
      <c r="Y202" s="192" t="s">
        <v>2516</v>
      </c>
    </row>
    <row r="203" spans="1:25" ht="30" x14ac:dyDescent="0.3">
      <c r="A203" s="171"/>
      <c r="B203" s="171"/>
      <c r="C203" s="171"/>
      <c r="D203" s="16" t="s">
        <v>2036</v>
      </c>
      <c r="E203" s="25"/>
      <c r="F203" s="25"/>
      <c r="G203" s="25"/>
      <c r="H203" s="25"/>
      <c r="I203" s="30" t="s">
        <v>2517</v>
      </c>
      <c r="J203" s="21"/>
      <c r="K203" s="9" t="s">
        <v>2030</v>
      </c>
      <c r="L203" s="9"/>
      <c r="M203" s="21"/>
      <c r="N203" s="171"/>
      <c r="O203" s="21"/>
      <c r="P203" s="15">
        <v>2</v>
      </c>
      <c r="Q203" s="15">
        <v>8</v>
      </c>
      <c r="R203" s="15">
        <v>40</v>
      </c>
      <c r="S203" s="10"/>
      <c r="T203" s="9"/>
      <c r="U203" s="21" t="s">
        <v>2518</v>
      </c>
      <c r="V203" s="21" t="s">
        <v>2519</v>
      </c>
      <c r="W203" s="21"/>
      <c r="X203" s="174"/>
      <c r="Y203" s="193"/>
    </row>
    <row r="204" spans="1:25" x14ac:dyDescent="0.3">
      <c r="A204" s="171"/>
      <c r="B204" s="171"/>
      <c r="C204" s="171"/>
      <c r="D204" s="16" t="s">
        <v>2036</v>
      </c>
      <c r="E204" s="25">
        <v>24</v>
      </c>
      <c r="F204" s="31">
        <f>SUM(P203:P207)/E204</f>
        <v>0.41666666666666669</v>
      </c>
      <c r="G204" s="25">
        <v>96</v>
      </c>
      <c r="H204" s="31">
        <f>SUM(Q203:Q207)/G204</f>
        <v>0.70833333333333337</v>
      </c>
      <c r="I204" s="30" t="s">
        <v>2520</v>
      </c>
      <c r="J204" s="21"/>
      <c r="K204" s="9" t="s">
        <v>2030</v>
      </c>
      <c r="L204" s="9"/>
      <c r="M204" s="21"/>
      <c r="N204" s="171"/>
      <c r="O204" s="21"/>
      <c r="P204" s="15">
        <v>2</v>
      </c>
      <c r="Q204" s="15">
        <v>8</v>
      </c>
      <c r="R204" s="15">
        <v>40</v>
      </c>
      <c r="S204" s="10"/>
      <c r="T204" s="9"/>
      <c r="U204" s="21" t="s">
        <v>2521</v>
      </c>
      <c r="V204" s="21" t="s">
        <v>2522</v>
      </c>
      <c r="W204" s="21"/>
      <c r="X204" s="174"/>
      <c r="Y204" s="193"/>
    </row>
    <row r="205" spans="1:25" x14ac:dyDescent="0.3">
      <c r="A205" s="171"/>
      <c r="B205" s="171"/>
      <c r="C205" s="171"/>
      <c r="D205" s="16" t="s">
        <v>2036</v>
      </c>
      <c r="E205" s="25"/>
      <c r="F205" s="25"/>
      <c r="G205" s="25"/>
      <c r="H205" s="25"/>
      <c r="I205" s="30" t="s">
        <v>2523</v>
      </c>
      <c r="J205" s="21"/>
      <c r="K205" s="9" t="s">
        <v>2030</v>
      </c>
      <c r="L205" s="9"/>
      <c r="M205" s="21"/>
      <c r="N205" s="171"/>
      <c r="O205" s="21"/>
      <c r="P205" s="15">
        <v>2</v>
      </c>
      <c r="Q205" s="15">
        <v>24</v>
      </c>
      <c r="R205" s="15">
        <v>40</v>
      </c>
      <c r="S205" s="10"/>
      <c r="T205" s="9"/>
      <c r="U205" s="21" t="s">
        <v>2524</v>
      </c>
      <c r="V205" s="21" t="s">
        <v>2525</v>
      </c>
      <c r="W205" s="21"/>
      <c r="X205" s="174"/>
      <c r="Y205" s="193"/>
    </row>
    <row r="206" spans="1:25" x14ac:dyDescent="0.3">
      <c r="A206" s="171"/>
      <c r="B206" s="171"/>
      <c r="C206" s="171"/>
      <c r="D206" s="16" t="s">
        <v>2036</v>
      </c>
      <c r="E206" s="25"/>
      <c r="F206" s="25"/>
      <c r="G206" s="25"/>
      <c r="H206" s="25"/>
      <c r="I206" s="30" t="s">
        <v>2526</v>
      </c>
      <c r="J206" s="21"/>
      <c r="K206" s="9" t="s">
        <v>2030</v>
      </c>
      <c r="L206" s="9"/>
      <c r="M206" s="21"/>
      <c r="N206" s="171"/>
      <c r="O206" s="21"/>
      <c r="P206" s="15">
        <v>2</v>
      </c>
      <c r="Q206" s="15">
        <v>24</v>
      </c>
      <c r="R206" s="15">
        <v>40</v>
      </c>
      <c r="S206" s="10"/>
      <c r="T206" s="9"/>
      <c r="U206" s="21" t="s">
        <v>2527</v>
      </c>
      <c r="V206" s="21" t="s">
        <v>2528</v>
      </c>
      <c r="W206" s="21"/>
      <c r="X206" s="174"/>
      <c r="Y206" s="193"/>
    </row>
    <row r="207" spans="1:25" ht="30" x14ac:dyDescent="0.3">
      <c r="A207" s="172"/>
      <c r="B207" s="172"/>
      <c r="C207" s="172"/>
      <c r="D207" s="16" t="s">
        <v>2282</v>
      </c>
      <c r="E207" s="23"/>
      <c r="F207" s="23"/>
      <c r="G207" s="23"/>
      <c r="H207" s="23"/>
      <c r="I207" s="30" t="s">
        <v>2529</v>
      </c>
      <c r="J207" s="21"/>
      <c r="K207" s="9" t="s">
        <v>2030</v>
      </c>
      <c r="L207" s="9"/>
      <c r="M207" s="21"/>
      <c r="N207" s="172"/>
      <c r="O207" s="21"/>
      <c r="P207" s="15">
        <v>2</v>
      </c>
      <c r="Q207" s="15">
        <v>4</v>
      </c>
      <c r="R207" s="15">
        <v>140</v>
      </c>
      <c r="S207" s="10"/>
      <c r="T207" s="9"/>
      <c r="U207" s="21" t="s">
        <v>2530</v>
      </c>
      <c r="V207" s="21" t="s">
        <v>2531</v>
      </c>
      <c r="W207" s="21"/>
      <c r="X207" s="175"/>
      <c r="Y207" s="194"/>
    </row>
    <row r="208" spans="1:25" x14ac:dyDescent="0.3">
      <c r="A208" s="170" t="s">
        <v>2026</v>
      </c>
      <c r="B208" s="170" t="s">
        <v>2532</v>
      </c>
      <c r="C208" s="170"/>
      <c r="D208" s="20" t="s">
        <v>2041</v>
      </c>
      <c r="E208" s="25"/>
      <c r="F208" s="25"/>
      <c r="G208" s="25"/>
      <c r="H208" s="25"/>
      <c r="I208" s="30"/>
      <c r="J208" s="21"/>
      <c r="K208" s="9" t="s">
        <v>2030</v>
      </c>
      <c r="L208" s="9"/>
      <c r="M208" s="21"/>
      <c r="N208" s="25"/>
      <c r="O208" s="21"/>
      <c r="P208" s="21"/>
      <c r="Q208" s="21"/>
      <c r="R208" s="21"/>
      <c r="S208" s="10"/>
      <c r="T208" s="9"/>
      <c r="U208" s="21" t="s">
        <v>2533</v>
      </c>
      <c r="V208" s="21"/>
      <c r="W208" s="14"/>
      <c r="X208" s="170" t="s">
        <v>2534</v>
      </c>
      <c r="Y208" s="192" t="s">
        <v>2535</v>
      </c>
    </row>
    <row r="209" spans="1:25" x14ac:dyDescent="0.3">
      <c r="A209" s="171"/>
      <c r="B209" s="171"/>
      <c r="C209" s="171"/>
      <c r="D209" s="16" t="s">
        <v>2036</v>
      </c>
      <c r="E209" s="25"/>
      <c r="F209" s="25"/>
      <c r="G209" s="25"/>
      <c r="H209" s="25"/>
      <c r="I209" s="30"/>
      <c r="J209" s="21"/>
      <c r="K209" s="9"/>
      <c r="L209" s="9"/>
      <c r="M209" s="21"/>
      <c r="N209" s="25"/>
      <c r="O209" s="21"/>
      <c r="P209" s="21"/>
      <c r="Q209" s="21"/>
      <c r="R209" s="21"/>
      <c r="S209" s="10"/>
      <c r="T209" s="9"/>
      <c r="U209" s="21"/>
      <c r="V209" s="21"/>
      <c r="W209" s="14"/>
      <c r="X209" s="171"/>
      <c r="Y209" s="193"/>
    </row>
    <row r="210" spans="1:25" x14ac:dyDescent="0.3">
      <c r="A210" s="171"/>
      <c r="B210" s="171"/>
      <c r="C210" s="171"/>
      <c r="D210" s="16" t="s">
        <v>2036</v>
      </c>
      <c r="E210" s="25">
        <v>24</v>
      </c>
      <c r="F210" s="31">
        <f>SUM(P209:P213)/E210</f>
        <v>0</v>
      </c>
      <c r="G210" s="25">
        <v>96</v>
      </c>
      <c r="H210" s="31">
        <f>SUM(Q209:Q213)/G210</f>
        <v>0</v>
      </c>
      <c r="I210" s="30"/>
      <c r="J210" s="21"/>
      <c r="K210" s="9"/>
      <c r="L210" s="9"/>
      <c r="M210" s="21"/>
      <c r="N210" s="25"/>
      <c r="O210" s="21"/>
      <c r="P210" s="21"/>
      <c r="Q210" s="21"/>
      <c r="R210" s="21"/>
      <c r="S210" s="10"/>
      <c r="T210" s="9"/>
      <c r="U210" s="21"/>
      <c r="V210" s="21"/>
      <c r="W210" s="14"/>
      <c r="X210" s="171"/>
      <c r="Y210" s="193"/>
    </row>
    <row r="211" spans="1:25" x14ac:dyDescent="0.3">
      <c r="A211" s="171"/>
      <c r="B211" s="171"/>
      <c r="C211" s="171"/>
      <c r="D211" s="16" t="s">
        <v>2036</v>
      </c>
      <c r="E211" s="25"/>
      <c r="F211" s="25"/>
      <c r="G211" s="25"/>
      <c r="H211" s="25"/>
      <c r="I211" s="30"/>
      <c r="J211" s="21"/>
      <c r="K211" s="9"/>
      <c r="L211" s="9"/>
      <c r="M211" s="21"/>
      <c r="N211" s="25"/>
      <c r="O211" s="21"/>
      <c r="P211" s="21"/>
      <c r="Q211" s="21"/>
      <c r="R211" s="21"/>
      <c r="S211" s="10"/>
      <c r="T211" s="9"/>
      <c r="U211" s="21"/>
      <c r="V211" s="21"/>
      <c r="W211" s="14"/>
      <c r="X211" s="171"/>
      <c r="Y211" s="193"/>
    </row>
    <row r="212" spans="1:25" x14ac:dyDescent="0.3">
      <c r="A212" s="171"/>
      <c r="B212" s="171"/>
      <c r="C212" s="171"/>
      <c r="D212" s="16" t="s">
        <v>2036</v>
      </c>
      <c r="E212" s="25"/>
      <c r="F212" s="25"/>
      <c r="G212" s="25"/>
      <c r="H212" s="25"/>
      <c r="I212" s="30"/>
      <c r="J212" s="21"/>
      <c r="K212" s="9"/>
      <c r="L212" s="9"/>
      <c r="M212" s="21"/>
      <c r="N212" s="25"/>
      <c r="O212" s="21"/>
      <c r="P212" s="21"/>
      <c r="Q212" s="21"/>
      <c r="R212" s="21"/>
      <c r="S212" s="10"/>
      <c r="T212" s="9"/>
      <c r="U212" s="21"/>
      <c r="V212" s="21"/>
      <c r="W212" s="14"/>
      <c r="X212" s="171"/>
      <c r="Y212" s="193"/>
    </row>
    <row r="213" spans="1:25" x14ac:dyDescent="0.3">
      <c r="A213" s="172"/>
      <c r="B213" s="172"/>
      <c r="C213" s="172"/>
      <c r="D213" s="16" t="s">
        <v>2036</v>
      </c>
      <c r="E213" s="25"/>
      <c r="F213" s="25"/>
      <c r="G213" s="25"/>
      <c r="H213" s="25"/>
      <c r="I213" s="30"/>
      <c r="J213" s="21"/>
      <c r="K213" s="9"/>
      <c r="L213" s="9"/>
      <c r="M213" s="21"/>
      <c r="N213" s="25"/>
      <c r="O213" s="21"/>
      <c r="P213" s="21"/>
      <c r="Q213" s="21"/>
      <c r="R213" s="21"/>
      <c r="S213" s="10"/>
      <c r="T213" s="9"/>
      <c r="U213" s="21"/>
      <c r="V213" s="21"/>
      <c r="W213" s="14"/>
      <c r="X213" s="172"/>
      <c r="Y213" s="194"/>
    </row>
    <row r="214" spans="1:25" x14ac:dyDescent="0.3">
      <c r="A214" s="170" t="s">
        <v>2536</v>
      </c>
      <c r="B214" s="170" t="s">
        <v>2537</v>
      </c>
      <c r="C214" s="170"/>
      <c r="D214" s="20" t="s">
        <v>2041</v>
      </c>
      <c r="E214" s="20"/>
      <c r="F214" s="20"/>
      <c r="G214" s="20"/>
      <c r="H214" s="20"/>
      <c r="I214" s="15"/>
      <c r="J214" s="21"/>
      <c r="K214" s="9" t="s">
        <v>2030</v>
      </c>
      <c r="L214" s="9"/>
      <c r="M214" s="21"/>
      <c r="N214" s="173"/>
      <c r="O214" s="21"/>
      <c r="P214" s="21"/>
      <c r="Q214" s="21"/>
      <c r="R214" s="21"/>
      <c r="S214" s="10"/>
      <c r="T214" s="9"/>
      <c r="U214" s="21" t="s">
        <v>2538</v>
      </c>
      <c r="V214" s="21"/>
      <c r="W214" s="14" t="s">
        <v>2033</v>
      </c>
      <c r="X214" s="173" t="s">
        <v>2539</v>
      </c>
      <c r="Y214" s="192" t="s">
        <v>2540</v>
      </c>
    </row>
    <row r="215" spans="1:25" x14ac:dyDescent="0.3">
      <c r="A215" s="171"/>
      <c r="B215" s="171"/>
      <c r="C215" s="171"/>
      <c r="D215" s="16" t="s">
        <v>2036</v>
      </c>
      <c r="E215" s="25"/>
      <c r="F215" s="25"/>
      <c r="G215" s="25"/>
      <c r="H215" s="25"/>
      <c r="I215" s="15"/>
      <c r="J215" s="21"/>
      <c r="K215" s="9"/>
      <c r="L215" s="9"/>
      <c r="M215" s="21"/>
      <c r="N215" s="174"/>
      <c r="O215" s="21"/>
      <c r="P215" s="21"/>
      <c r="Q215" s="21"/>
      <c r="R215" s="21"/>
      <c r="S215" s="10"/>
      <c r="T215" s="9"/>
      <c r="U215" s="21"/>
      <c r="V215" s="21"/>
      <c r="W215" s="21"/>
      <c r="X215" s="174"/>
      <c r="Y215" s="193"/>
    </row>
    <row r="216" spans="1:25" x14ac:dyDescent="0.3">
      <c r="A216" s="171"/>
      <c r="B216" s="171"/>
      <c r="C216" s="171"/>
      <c r="D216" s="16" t="s">
        <v>2036</v>
      </c>
      <c r="E216" s="25">
        <v>24</v>
      </c>
      <c r="F216" s="31">
        <f>SUM(P215:P218)/E216</f>
        <v>0</v>
      </c>
      <c r="G216" s="25">
        <v>96</v>
      </c>
      <c r="H216" s="31">
        <f>SUM(Q215:Q218)/G216</f>
        <v>0</v>
      </c>
      <c r="I216" s="15"/>
      <c r="J216" s="21"/>
      <c r="K216" s="9"/>
      <c r="L216" s="9"/>
      <c r="M216" s="21"/>
      <c r="N216" s="174"/>
      <c r="O216" s="21"/>
      <c r="P216" s="21"/>
      <c r="Q216" s="21"/>
      <c r="R216" s="21"/>
      <c r="S216" s="10"/>
      <c r="T216" s="9"/>
      <c r="U216" s="21"/>
      <c r="V216" s="21"/>
      <c r="W216" s="21"/>
      <c r="X216" s="174"/>
      <c r="Y216" s="193"/>
    </row>
    <row r="217" spans="1:25" x14ac:dyDescent="0.3">
      <c r="A217" s="171"/>
      <c r="B217" s="171"/>
      <c r="C217" s="171"/>
      <c r="D217" s="16" t="s">
        <v>2036</v>
      </c>
      <c r="E217" s="25"/>
      <c r="F217" s="25"/>
      <c r="G217" s="25"/>
      <c r="H217" s="25"/>
      <c r="I217" s="15"/>
      <c r="J217" s="21"/>
      <c r="K217" s="9"/>
      <c r="L217" s="9"/>
      <c r="M217" s="21"/>
      <c r="N217" s="174"/>
      <c r="O217" s="21"/>
      <c r="P217" s="21"/>
      <c r="Q217" s="21"/>
      <c r="R217" s="21"/>
      <c r="S217" s="10"/>
      <c r="T217" s="9"/>
      <c r="U217" s="21"/>
      <c r="V217" s="21"/>
      <c r="W217" s="21"/>
      <c r="X217" s="174"/>
      <c r="Y217" s="193"/>
    </row>
    <row r="218" spans="1:25" x14ac:dyDescent="0.3">
      <c r="A218" s="172"/>
      <c r="B218" s="172"/>
      <c r="C218" s="172"/>
      <c r="D218" s="16" t="s">
        <v>2036</v>
      </c>
      <c r="E218" s="23"/>
      <c r="F218" s="23"/>
      <c r="G218" s="23"/>
      <c r="H218" s="23"/>
      <c r="I218" s="15"/>
      <c r="J218" s="21"/>
      <c r="K218" s="9"/>
      <c r="L218" s="9"/>
      <c r="M218" s="21"/>
      <c r="N218" s="175"/>
      <c r="O218" s="21"/>
      <c r="P218" s="21"/>
      <c r="Q218" s="21"/>
      <c r="R218" s="21"/>
      <c r="S218" s="10"/>
      <c r="T218" s="9"/>
      <c r="U218" s="21"/>
      <c r="V218" s="21"/>
      <c r="W218" s="21"/>
      <c r="X218" s="175"/>
      <c r="Y218" s="194"/>
    </row>
    <row r="219" spans="1:25" x14ac:dyDescent="0.3">
      <c r="A219" s="170" t="s">
        <v>2536</v>
      </c>
      <c r="B219" s="170" t="s">
        <v>2541</v>
      </c>
      <c r="C219" s="170"/>
      <c r="D219" s="20" t="s">
        <v>2041</v>
      </c>
      <c r="E219" s="20"/>
      <c r="F219" s="20"/>
      <c r="G219" s="20"/>
      <c r="H219" s="20"/>
      <c r="I219" s="15"/>
      <c r="J219" s="21"/>
      <c r="K219" s="9" t="s">
        <v>2030</v>
      </c>
      <c r="L219" s="9"/>
      <c r="M219" s="21"/>
      <c r="N219" s="173"/>
      <c r="O219" s="21"/>
      <c r="P219" s="21"/>
      <c r="Q219" s="21"/>
      <c r="R219" s="21"/>
      <c r="S219" s="10"/>
      <c r="T219" s="9"/>
      <c r="U219" s="21" t="s">
        <v>2542</v>
      </c>
      <c r="V219" s="21"/>
      <c r="W219" s="14" t="s">
        <v>2033</v>
      </c>
      <c r="X219" s="173" t="s">
        <v>2543</v>
      </c>
      <c r="Y219" s="192" t="s">
        <v>2544</v>
      </c>
    </row>
    <row r="220" spans="1:25" x14ac:dyDescent="0.3">
      <c r="A220" s="171"/>
      <c r="B220" s="171"/>
      <c r="C220" s="171"/>
      <c r="D220" s="16" t="s">
        <v>2036</v>
      </c>
      <c r="E220" s="25"/>
      <c r="F220" s="25"/>
      <c r="G220" s="25"/>
      <c r="H220" s="25"/>
      <c r="I220" s="15"/>
      <c r="J220" s="21"/>
      <c r="K220" s="9"/>
      <c r="L220" s="9"/>
      <c r="M220" s="21"/>
      <c r="N220" s="174"/>
      <c r="O220" s="21"/>
      <c r="P220" s="21"/>
      <c r="Q220" s="21"/>
      <c r="R220" s="21"/>
      <c r="S220" s="10"/>
      <c r="T220" s="9"/>
      <c r="U220" s="21"/>
      <c r="V220" s="21"/>
      <c r="W220" s="21"/>
      <c r="X220" s="174"/>
      <c r="Y220" s="193"/>
    </row>
    <row r="221" spans="1:25" x14ac:dyDescent="0.3">
      <c r="A221" s="171"/>
      <c r="B221" s="171"/>
      <c r="C221" s="171"/>
      <c r="D221" s="16" t="s">
        <v>2036</v>
      </c>
      <c r="E221" s="25">
        <v>24</v>
      </c>
      <c r="F221" s="31">
        <f>SUM(P220:P223)/E221</f>
        <v>0</v>
      </c>
      <c r="G221" s="25">
        <v>96</v>
      </c>
      <c r="H221" s="31">
        <f>SUM(Q220:Q223)/G221</f>
        <v>0</v>
      </c>
      <c r="I221" s="15"/>
      <c r="J221" s="21"/>
      <c r="K221" s="9"/>
      <c r="L221" s="9"/>
      <c r="M221" s="21"/>
      <c r="N221" s="174"/>
      <c r="O221" s="21"/>
      <c r="P221" s="21"/>
      <c r="Q221" s="21"/>
      <c r="R221" s="21"/>
      <c r="S221" s="10"/>
      <c r="T221" s="9"/>
      <c r="U221" s="21"/>
      <c r="V221" s="21"/>
      <c r="W221" s="21"/>
      <c r="X221" s="174"/>
      <c r="Y221" s="193"/>
    </row>
    <row r="222" spans="1:25" x14ac:dyDescent="0.3">
      <c r="A222" s="171"/>
      <c r="B222" s="171"/>
      <c r="C222" s="171"/>
      <c r="D222" s="16" t="s">
        <v>2036</v>
      </c>
      <c r="E222" s="25"/>
      <c r="F222" s="25"/>
      <c r="G222" s="25"/>
      <c r="H222" s="25"/>
      <c r="I222" s="15"/>
      <c r="J222" s="21"/>
      <c r="K222" s="9"/>
      <c r="L222" s="9"/>
      <c r="M222" s="21"/>
      <c r="N222" s="174"/>
      <c r="O222" s="21"/>
      <c r="P222" s="21"/>
      <c r="Q222" s="21"/>
      <c r="R222" s="21"/>
      <c r="S222" s="10"/>
      <c r="T222" s="9"/>
      <c r="U222" s="21"/>
      <c r="V222" s="21"/>
      <c r="W222" s="21"/>
      <c r="X222" s="174"/>
      <c r="Y222" s="193"/>
    </row>
    <row r="223" spans="1:25" x14ac:dyDescent="0.3">
      <c r="A223" s="172"/>
      <c r="B223" s="172"/>
      <c r="C223" s="172"/>
      <c r="D223" s="16" t="s">
        <v>2036</v>
      </c>
      <c r="E223" s="23"/>
      <c r="F223" s="23"/>
      <c r="G223" s="23"/>
      <c r="H223" s="23"/>
      <c r="I223" s="15"/>
      <c r="J223" s="21"/>
      <c r="K223" s="9"/>
      <c r="L223" s="9"/>
      <c r="M223" s="21"/>
      <c r="N223" s="175"/>
      <c r="O223" s="21"/>
      <c r="P223" s="21"/>
      <c r="Q223" s="21"/>
      <c r="R223" s="21"/>
      <c r="S223" s="10"/>
      <c r="T223" s="9"/>
      <c r="U223" s="21"/>
      <c r="V223" s="21"/>
      <c r="W223" s="21"/>
      <c r="X223" s="175"/>
      <c r="Y223" s="194"/>
    </row>
    <row r="224" spans="1:25" x14ac:dyDescent="0.3">
      <c r="A224" s="170" t="s">
        <v>2536</v>
      </c>
      <c r="B224" s="170" t="s">
        <v>2545</v>
      </c>
      <c r="C224" s="170"/>
      <c r="D224" s="20" t="s">
        <v>2041</v>
      </c>
      <c r="E224" s="20"/>
      <c r="F224" s="20"/>
      <c r="G224" s="20"/>
      <c r="H224" s="20"/>
      <c r="I224" s="15"/>
      <c r="J224" s="21"/>
      <c r="K224" s="9" t="s">
        <v>2030</v>
      </c>
      <c r="L224" s="9"/>
      <c r="M224" s="21"/>
      <c r="N224" s="173"/>
      <c r="O224" s="21"/>
      <c r="P224" s="21"/>
      <c r="Q224" s="21"/>
      <c r="R224" s="21"/>
      <c r="S224" s="10"/>
      <c r="T224" s="9"/>
      <c r="U224" s="21" t="s">
        <v>2546</v>
      </c>
      <c r="V224" s="21"/>
      <c r="W224" s="14" t="s">
        <v>2033</v>
      </c>
      <c r="X224" s="173" t="s">
        <v>2547</v>
      </c>
      <c r="Y224" s="192" t="s">
        <v>2548</v>
      </c>
    </row>
    <row r="225" spans="1:25" x14ac:dyDescent="0.3">
      <c r="A225" s="171"/>
      <c r="B225" s="171"/>
      <c r="C225" s="171"/>
      <c r="D225" s="16" t="s">
        <v>2036</v>
      </c>
      <c r="E225" s="25"/>
      <c r="F225" s="25"/>
      <c r="G225" s="25"/>
      <c r="H225" s="25"/>
      <c r="I225" s="15"/>
      <c r="J225" s="21"/>
      <c r="K225" s="9"/>
      <c r="L225" s="9"/>
      <c r="M225" s="21"/>
      <c r="N225" s="174"/>
      <c r="O225" s="21"/>
      <c r="P225" s="21"/>
      <c r="Q225" s="21"/>
      <c r="R225" s="21"/>
      <c r="S225" s="10"/>
      <c r="T225" s="9"/>
      <c r="U225" s="21"/>
      <c r="V225" s="21"/>
      <c r="W225" s="21"/>
      <c r="X225" s="174"/>
      <c r="Y225" s="193"/>
    </row>
    <row r="226" spans="1:25" x14ac:dyDescent="0.3">
      <c r="A226" s="171"/>
      <c r="B226" s="171"/>
      <c r="C226" s="171"/>
      <c r="D226" s="16" t="s">
        <v>2036</v>
      </c>
      <c r="E226" s="25">
        <v>24</v>
      </c>
      <c r="F226" s="31">
        <f>SUM(P225:P228)/E226</f>
        <v>0</v>
      </c>
      <c r="G226" s="25">
        <v>96</v>
      </c>
      <c r="H226" s="31">
        <f>SUM(Q225:Q228)/G226</f>
        <v>0</v>
      </c>
      <c r="I226" s="15"/>
      <c r="J226" s="21"/>
      <c r="K226" s="9"/>
      <c r="L226" s="9"/>
      <c r="M226" s="21"/>
      <c r="N226" s="174"/>
      <c r="O226" s="21"/>
      <c r="P226" s="21"/>
      <c r="Q226" s="21"/>
      <c r="R226" s="21"/>
      <c r="S226" s="10"/>
      <c r="T226" s="9"/>
      <c r="U226" s="21"/>
      <c r="V226" s="21"/>
      <c r="W226" s="21"/>
      <c r="X226" s="174"/>
      <c r="Y226" s="193"/>
    </row>
    <row r="227" spans="1:25" x14ac:dyDescent="0.3">
      <c r="A227" s="171"/>
      <c r="B227" s="171"/>
      <c r="C227" s="171"/>
      <c r="D227" s="16" t="s">
        <v>2036</v>
      </c>
      <c r="E227" s="25"/>
      <c r="F227" s="25"/>
      <c r="G227" s="25"/>
      <c r="H227" s="25"/>
      <c r="I227" s="15"/>
      <c r="J227" s="21"/>
      <c r="K227" s="9"/>
      <c r="L227" s="9"/>
      <c r="M227" s="21"/>
      <c r="N227" s="174"/>
      <c r="O227" s="21"/>
      <c r="P227" s="21"/>
      <c r="Q227" s="21"/>
      <c r="R227" s="21"/>
      <c r="S227" s="10"/>
      <c r="T227" s="9"/>
      <c r="U227" s="21"/>
      <c r="V227" s="21"/>
      <c r="W227" s="21"/>
      <c r="X227" s="174"/>
      <c r="Y227" s="193"/>
    </row>
    <row r="228" spans="1:25" x14ac:dyDescent="0.3">
      <c r="A228" s="172"/>
      <c r="B228" s="172"/>
      <c r="C228" s="172"/>
      <c r="D228" s="16" t="s">
        <v>2036</v>
      </c>
      <c r="E228" s="23"/>
      <c r="F228" s="23"/>
      <c r="G228" s="23"/>
      <c r="H228" s="23"/>
      <c r="I228" s="15"/>
      <c r="J228" s="21"/>
      <c r="K228" s="9"/>
      <c r="L228" s="9"/>
      <c r="M228" s="21"/>
      <c r="N228" s="175"/>
      <c r="O228" s="21"/>
      <c r="P228" s="21"/>
      <c r="Q228" s="21"/>
      <c r="R228" s="21"/>
      <c r="S228" s="10"/>
      <c r="T228" s="9"/>
      <c r="U228" s="21"/>
      <c r="V228" s="21"/>
      <c r="W228" s="21"/>
      <c r="X228" s="175"/>
      <c r="Y228" s="194"/>
    </row>
    <row r="229" spans="1:25" x14ac:dyDescent="0.3">
      <c r="A229" s="170" t="s">
        <v>2536</v>
      </c>
      <c r="B229" s="170" t="s">
        <v>2549</v>
      </c>
      <c r="C229" s="170"/>
      <c r="D229" s="20" t="s">
        <v>2041</v>
      </c>
      <c r="E229" s="20"/>
      <c r="F229" s="20"/>
      <c r="G229" s="20"/>
      <c r="H229" s="20"/>
      <c r="I229" s="15"/>
      <c r="J229" s="21"/>
      <c r="K229" s="9" t="s">
        <v>2030</v>
      </c>
      <c r="L229" s="9"/>
      <c r="M229" s="21"/>
      <c r="N229" s="173"/>
      <c r="O229" s="21"/>
      <c r="P229" s="21"/>
      <c r="Q229" s="21"/>
      <c r="R229" s="21"/>
      <c r="S229" s="10"/>
      <c r="T229" s="9"/>
      <c r="U229" s="21" t="s">
        <v>2550</v>
      </c>
      <c r="V229" s="21"/>
      <c r="W229" s="14" t="s">
        <v>2033</v>
      </c>
      <c r="X229" s="173" t="s">
        <v>2551</v>
      </c>
      <c r="Y229" s="192" t="s">
        <v>2552</v>
      </c>
    </row>
    <row r="230" spans="1:25" x14ac:dyDescent="0.3">
      <c r="A230" s="171"/>
      <c r="B230" s="171"/>
      <c r="C230" s="171"/>
      <c r="D230" s="16" t="s">
        <v>2036</v>
      </c>
      <c r="E230" s="25"/>
      <c r="F230" s="25"/>
      <c r="G230" s="25"/>
      <c r="H230" s="25"/>
      <c r="I230" s="15"/>
      <c r="J230" s="21"/>
      <c r="K230" s="9"/>
      <c r="L230" s="9"/>
      <c r="M230" s="21"/>
      <c r="N230" s="174"/>
      <c r="O230" s="21"/>
      <c r="P230" s="21"/>
      <c r="Q230" s="21"/>
      <c r="R230" s="21"/>
      <c r="S230" s="10"/>
      <c r="T230" s="9"/>
      <c r="U230" s="21"/>
      <c r="V230" s="21"/>
      <c r="W230" s="21"/>
      <c r="X230" s="174"/>
      <c r="Y230" s="193"/>
    </row>
    <row r="231" spans="1:25" x14ac:dyDescent="0.3">
      <c r="A231" s="171"/>
      <c r="B231" s="171"/>
      <c r="C231" s="171"/>
      <c r="D231" s="16" t="s">
        <v>2036</v>
      </c>
      <c r="E231" s="25">
        <v>24</v>
      </c>
      <c r="F231" s="31">
        <f>SUM(P230:P233)/E231</f>
        <v>0</v>
      </c>
      <c r="G231" s="25">
        <v>96</v>
      </c>
      <c r="H231" s="31">
        <f>SUM(Q230:Q233)/G231</f>
        <v>0</v>
      </c>
      <c r="I231" s="15"/>
      <c r="J231" s="21"/>
      <c r="K231" s="9"/>
      <c r="L231" s="9"/>
      <c r="M231" s="21"/>
      <c r="N231" s="174"/>
      <c r="O231" s="21"/>
      <c r="P231" s="21"/>
      <c r="Q231" s="21"/>
      <c r="R231" s="21"/>
      <c r="S231" s="10"/>
      <c r="T231" s="9"/>
      <c r="U231" s="21"/>
      <c r="V231" s="21"/>
      <c r="W231" s="21"/>
      <c r="X231" s="174"/>
      <c r="Y231" s="193"/>
    </row>
    <row r="232" spans="1:25" x14ac:dyDescent="0.3">
      <c r="A232" s="171"/>
      <c r="B232" s="171"/>
      <c r="C232" s="171"/>
      <c r="D232" s="16" t="s">
        <v>2036</v>
      </c>
      <c r="E232" s="25"/>
      <c r="F232" s="25"/>
      <c r="G232" s="25"/>
      <c r="H232" s="25"/>
      <c r="I232" s="15"/>
      <c r="J232" s="21"/>
      <c r="K232" s="9"/>
      <c r="L232" s="9"/>
      <c r="M232" s="21"/>
      <c r="N232" s="174"/>
      <c r="O232" s="21"/>
      <c r="P232" s="21"/>
      <c r="Q232" s="21"/>
      <c r="R232" s="21"/>
      <c r="S232" s="10"/>
      <c r="T232" s="9"/>
      <c r="U232" s="21"/>
      <c r="V232" s="21"/>
      <c r="W232" s="21"/>
      <c r="X232" s="174"/>
      <c r="Y232" s="193"/>
    </row>
    <row r="233" spans="1:25" x14ac:dyDescent="0.3">
      <c r="A233" s="172"/>
      <c r="B233" s="172"/>
      <c r="C233" s="172"/>
      <c r="D233" s="16" t="s">
        <v>2036</v>
      </c>
      <c r="E233" s="23"/>
      <c r="F233" s="23"/>
      <c r="G233" s="23"/>
      <c r="H233" s="23"/>
      <c r="I233" s="15"/>
      <c r="J233" s="21"/>
      <c r="K233" s="9"/>
      <c r="L233" s="9"/>
      <c r="M233" s="21"/>
      <c r="N233" s="175"/>
      <c r="O233" s="21"/>
      <c r="P233" s="21"/>
      <c r="Q233" s="21"/>
      <c r="R233" s="21"/>
      <c r="S233" s="10"/>
      <c r="T233" s="9"/>
      <c r="U233" s="21"/>
      <c r="V233" s="21"/>
      <c r="W233" s="21"/>
      <c r="X233" s="175"/>
      <c r="Y233" s="194"/>
    </row>
    <row r="234" spans="1:25" x14ac:dyDescent="0.3">
      <c r="A234" s="170" t="s">
        <v>2536</v>
      </c>
      <c r="B234" s="170" t="s">
        <v>2553</v>
      </c>
      <c r="C234" s="170"/>
      <c r="D234" s="20" t="s">
        <v>2041</v>
      </c>
      <c r="E234" s="20"/>
      <c r="F234" s="20"/>
      <c r="G234" s="20"/>
      <c r="H234" s="20"/>
      <c r="I234" s="15"/>
      <c r="J234" s="21"/>
      <c r="K234" s="9" t="s">
        <v>2030</v>
      </c>
      <c r="L234" s="9"/>
      <c r="M234" s="21"/>
      <c r="N234" s="173"/>
      <c r="O234" s="21"/>
      <c r="P234" s="21"/>
      <c r="Q234" s="21"/>
      <c r="R234" s="21"/>
      <c r="S234" s="10"/>
      <c r="T234" s="9"/>
      <c r="U234" s="21" t="s">
        <v>2554</v>
      </c>
      <c r="V234" s="21"/>
      <c r="W234" s="14" t="s">
        <v>2033</v>
      </c>
      <c r="X234" s="173" t="s">
        <v>2555</v>
      </c>
      <c r="Y234" s="192" t="s">
        <v>2556</v>
      </c>
    </row>
    <row r="235" spans="1:25" x14ac:dyDescent="0.3">
      <c r="A235" s="171"/>
      <c r="B235" s="171"/>
      <c r="C235" s="171"/>
      <c r="D235" s="16" t="s">
        <v>2036</v>
      </c>
      <c r="E235" s="25"/>
      <c r="F235" s="25"/>
      <c r="G235" s="25"/>
      <c r="H235" s="25"/>
      <c r="I235" s="23"/>
      <c r="J235" s="21"/>
      <c r="K235" s="9"/>
      <c r="L235" s="9"/>
      <c r="M235" s="21"/>
      <c r="N235" s="174"/>
      <c r="O235" s="21"/>
      <c r="P235" s="15"/>
      <c r="Q235" s="15"/>
      <c r="R235" s="15"/>
      <c r="S235" s="10"/>
      <c r="T235" s="9"/>
      <c r="U235" s="21" t="s">
        <v>2557</v>
      </c>
      <c r="V235" s="21"/>
      <c r="W235" s="21"/>
      <c r="X235" s="174"/>
      <c r="Y235" s="193"/>
    </row>
    <row r="236" spans="1:25" x14ac:dyDescent="0.3">
      <c r="A236" s="171"/>
      <c r="B236" s="171"/>
      <c r="C236" s="171"/>
      <c r="D236" s="16" t="s">
        <v>2036</v>
      </c>
      <c r="E236" s="25">
        <v>24</v>
      </c>
      <c r="F236" s="31">
        <f>SUM(P235:P238)/E236</f>
        <v>0</v>
      </c>
      <c r="G236" s="25">
        <v>96</v>
      </c>
      <c r="H236" s="31">
        <f>SUM(Q235:Q238)/G236</f>
        <v>0</v>
      </c>
      <c r="I236" s="15"/>
      <c r="J236" s="21"/>
      <c r="K236" s="9"/>
      <c r="L236" s="9"/>
      <c r="M236" s="21"/>
      <c r="N236" s="174"/>
      <c r="O236" s="21"/>
      <c r="P236" s="21"/>
      <c r="Q236" s="21"/>
      <c r="R236" s="21"/>
      <c r="S236" s="10"/>
      <c r="T236" s="9"/>
      <c r="U236" s="21"/>
      <c r="V236" s="21"/>
      <c r="W236" s="21"/>
      <c r="X236" s="174"/>
      <c r="Y236" s="193"/>
    </row>
    <row r="237" spans="1:25" x14ac:dyDescent="0.3">
      <c r="A237" s="171"/>
      <c r="B237" s="171"/>
      <c r="C237" s="171"/>
      <c r="D237" s="16" t="s">
        <v>2036</v>
      </c>
      <c r="E237" s="25"/>
      <c r="F237" s="25"/>
      <c r="G237" s="25"/>
      <c r="H237" s="25"/>
      <c r="I237" s="15"/>
      <c r="J237" s="21"/>
      <c r="K237" s="9"/>
      <c r="L237" s="9"/>
      <c r="M237" s="21"/>
      <c r="N237" s="174"/>
      <c r="O237" s="21"/>
      <c r="P237" s="21"/>
      <c r="Q237" s="21"/>
      <c r="R237" s="21"/>
      <c r="S237" s="10"/>
      <c r="T237" s="9"/>
      <c r="U237" s="21"/>
      <c r="V237" s="21"/>
      <c r="W237" s="21"/>
      <c r="X237" s="174"/>
      <c r="Y237" s="193"/>
    </row>
    <row r="238" spans="1:25" x14ac:dyDescent="0.3">
      <c r="A238" s="172"/>
      <c r="B238" s="172"/>
      <c r="C238" s="172"/>
      <c r="D238" s="16" t="s">
        <v>2036</v>
      </c>
      <c r="E238" s="23"/>
      <c r="F238" s="23"/>
      <c r="G238" s="23"/>
      <c r="H238" s="23"/>
      <c r="I238" s="15"/>
      <c r="J238" s="21"/>
      <c r="K238" s="9"/>
      <c r="L238" s="9"/>
      <c r="M238" s="21"/>
      <c r="N238" s="175"/>
      <c r="O238" s="21"/>
      <c r="P238" s="21"/>
      <c r="Q238" s="21"/>
      <c r="R238" s="21"/>
      <c r="S238" s="10"/>
      <c r="T238" s="9"/>
      <c r="U238" s="21"/>
      <c r="V238" s="21"/>
      <c r="W238" s="21"/>
      <c r="X238" s="175"/>
      <c r="Y238" s="194"/>
    </row>
    <row r="239" spans="1:25" x14ac:dyDescent="0.3">
      <c r="A239" s="170" t="s">
        <v>2536</v>
      </c>
      <c r="B239" s="170" t="s">
        <v>2558</v>
      </c>
      <c r="C239" s="170"/>
      <c r="D239" s="20" t="s">
        <v>2041</v>
      </c>
      <c r="E239" s="20"/>
      <c r="F239" s="20"/>
      <c r="G239" s="20"/>
      <c r="H239" s="20"/>
      <c r="I239" s="15"/>
      <c r="J239" s="21"/>
      <c r="K239" s="9" t="s">
        <v>2030</v>
      </c>
      <c r="L239" s="9"/>
      <c r="M239" s="21"/>
      <c r="N239" s="173"/>
      <c r="O239" s="21"/>
      <c r="P239" s="21"/>
      <c r="Q239" s="21"/>
      <c r="R239" s="21"/>
      <c r="S239" s="10"/>
      <c r="T239" s="9"/>
      <c r="U239" s="21" t="s">
        <v>2559</v>
      </c>
      <c r="V239" s="21"/>
      <c r="W239" s="14" t="s">
        <v>2033</v>
      </c>
      <c r="X239" s="173" t="s">
        <v>2560</v>
      </c>
      <c r="Y239" s="192" t="s">
        <v>2561</v>
      </c>
    </row>
    <row r="240" spans="1:25" x14ac:dyDescent="0.3">
      <c r="A240" s="171"/>
      <c r="B240" s="171"/>
      <c r="C240" s="171"/>
      <c r="D240" s="16" t="s">
        <v>2036</v>
      </c>
      <c r="E240" s="25"/>
      <c r="F240" s="25"/>
      <c r="G240" s="25"/>
      <c r="H240" s="25"/>
      <c r="I240" s="15"/>
      <c r="J240" s="21"/>
      <c r="K240" s="9"/>
      <c r="L240" s="9"/>
      <c r="M240" s="21"/>
      <c r="N240" s="174"/>
      <c r="O240" s="21"/>
      <c r="P240" s="21"/>
      <c r="Q240" s="21"/>
      <c r="R240" s="21"/>
      <c r="S240" s="10"/>
      <c r="T240" s="9"/>
      <c r="U240" s="21"/>
      <c r="V240" s="21"/>
      <c r="W240" s="21"/>
      <c r="X240" s="174"/>
      <c r="Y240" s="193"/>
    </row>
    <row r="241" spans="1:25" x14ac:dyDescent="0.3">
      <c r="A241" s="171"/>
      <c r="B241" s="171"/>
      <c r="C241" s="171"/>
      <c r="D241" s="16" t="s">
        <v>2036</v>
      </c>
      <c r="E241" s="25">
        <v>24</v>
      </c>
      <c r="F241" s="31">
        <f>SUM(P240:P243)/E241</f>
        <v>0</v>
      </c>
      <c r="G241" s="25">
        <v>96</v>
      </c>
      <c r="H241" s="31">
        <f>SUM(Q240:Q243)/G241</f>
        <v>0</v>
      </c>
      <c r="I241" s="15"/>
      <c r="J241" s="21"/>
      <c r="K241" s="9"/>
      <c r="L241" s="9"/>
      <c r="M241" s="21"/>
      <c r="N241" s="174"/>
      <c r="O241" s="21"/>
      <c r="P241" s="21"/>
      <c r="Q241" s="21"/>
      <c r="R241" s="21"/>
      <c r="S241" s="10"/>
      <c r="T241" s="9"/>
      <c r="U241" s="21"/>
      <c r="V241" s="21"/>
      <c r="W241" s="21"/>
      <c r="X241" s="174"/>
      <c r="Y241" s="193"/>
    </row>
    <row r="242" spans="1:25" x14ac:dyDescent="0.3">
      <c r="A242" s="171"/>
      <c r="B242" s="171"/>
      <c r="C242" s="171"/>
      <c r="D242" s="16" t="s">
        <v>2036</v>
      </c>
      <c r="E242" s="25"/>
      <c r="F242" s="25"/>
      <c r="G242" s="25"/>
      <c r="H242" s="25"/>
      <c r="I242" s="15"/>
      <c r="J242" s="21"/>
      <c r="K242" s="9"/>
      <c r="L242" s="9"/>
      <c r="M242" s="21"/>
      <c r="N242" s="174"/>
      <c r="O242" s="21"/>
      <c r="P242" s="21"/>
      <c r="Q242" s="21"/>
      <c r="R242" s="21"/>
      <c r="S242" s="10"/>
      <c r="T242" s="9"/>
      <c r="U242" s="21"/>
      <c r="V242" s="21"/>
      <c r="W242" s="21"/>
      <c r="X242" s="174"/>
      <c r="Y242" s="193"/>
    </row>
    <row r="243" spans="1:25" x14ac:dyDescent="0.3">
      <c r="A243" s="172"/>
      <c r="B243" s="172"/>
      <c r="C243" s="172"/>
      <c r="D243" s="16" t="s">
        <v>2036</v>
      </c>
      <c r="E243" s="23"/>
      <c r="F243" s="23"/>
      <c r="G243" s="23"/>
      <c r="H243" s="23"/>
      <c r="I243" s="15"/>
      <c r="J243" s="21"/>
      <c r="K243" s="9"/>
      <c r="L243" s="9"/>
      <c r="M243" s="21"/>
      <c r="N243" s="175"/>
      <c r="O243" s="21"/>
      <c r="P243" s="21"/>
      <c r="Q243" s="21"/>
      <c r="R243" s="21"/>
      <c r="S243" s="10"/>
      <c r="T243" s="9"/>
      <c r="U243" s="21"/>
      <c r="V243" s="21"/>
      <c r="W243" s="21"/>
      <c r="X243" s="175"/>
      <c r="Y243" s="194"/>
    </row>
    <row r="244" spans="1:25" x14ac:dyDescent="0.3">
      <c r="A244" s="170" t="s">
        <v>2536</v>
      </c>
      <c r="B244" s="170" t="s">
        <v>2562</v>
      </c>
      <c r="C244" s="170"/>
      <c r="D244" s="20" t="s">
        <v>2041</v>
      </c>
      <c r="E244" s="20"/>
      <c r="F244" s="20"/>
      <c r="G244" s="20"/>
      <c r="H244" s="20"/>
      <c r="I244" s="15"/>
      <c r="J244" s="21"/>
      <c r="K244" s="9" t="s">
        <v>2030</v>
      </c>
      <c r="L244" s="9"/>
      <c r="M244" s="21"/>
      <c r="N244" s="173"/>
      <c r="O244" s="21"/>
      <c r="P244" s="21"/>
      <c r="Q244" s="21"/>
      <c r="R244" s="21"/>
      <c r="S244" s="10"/>
      <c r="T244" s="9"/>
      <c r="U244" s="21" t="s">
        <v>2563</v>
      </c>
      <c r="V244" s="21"/>
      <c r="W244" s="21" t="s">
        <v>2062</v>
      </c>
      <c r="X244" s="173" t="s">
        <v>2564</v>
      </c>
      <c r="Y244" s="192" t="s">
        <v>2565</v>
      </c>
    </row>
    <row r="245" spans="1:25" x14ac:dyDescent="0.3">
      <c r="A245" s="171"/>
      <c r="B245" s="171"/>
      <c r="C245" s="171"/>
      <c r="D245" s="16" t="s">
        <v>2036</v>
      </c>
      <c r="E245" s="25"/>
      <c r="F245" s="25"/>
      <c r="G245" s="25"/>
      <c r="H245" s="25"/>
      <c r="I245" s="15"/>
      <c r="J245" s="21"/>
      <c r="K245" s="9"/>
      <c r="L245" s="9"/>
      <c r="M245" s="21"/>
      <c r="N245" s="174"/>
      <c r="O245" s="21"/>
      <c r="P245" s="21"/>
      <c r="Q245" s="21"/>
      <c r="R245" s="21"/>
      <c r="S245" s="10"/>
      <c r="T245" s="9"/>
      <c r="U245" s="21"/>
      <c r="V245" s="21"/>
      <c r="W245" s="21"/>
      <c r="X245" s="174"/>
      <c r="Y245" s="193"/>
    </row>
    <row r="246" spans="1:25" x14ac:dyDescent="0.3">
      <c r="A246" s="171"/>
      <c r="B246" s="171"/>
      <c r="C246" s="171"/>
      <c r="D246" s="16" t="s">
        <v>2036</v>
      </c>
      <c r="E246" s="25">
        <v>64</v>
      </c>
      <c r="F246" s="31">
        <f>SUM(P245:P248)/E246</f>
        <v>0</v>
      </c>
      <c r="G246" s="25">
        <v>240</v>
      </c>
      <c r="H246" s="31">
        <f>SUM(Q245:Q248)/G246</f>
        <v>0</v>
      </c>
      <c r="I246" s="15"/>
      <c r="J246" s="21"/>
      <c r="K246" s="9"/>
      <c r="L246" s="9"/>
      <c r="M246" s="21"/>
      <c r="N246" s="174"/>
      <c r="O246" s="21"/>
      <c r="P246" s="21"/>
      <c r="Q246" s="21"/>
      <c r="R246" s="21"/>
      <c r="S246" s="10"/>
      <c r="T246" s="9"/>
      <c r="U246" s="21"/>
      <c r="V246" s="21"/>
      <c r="W246" s="21"/>
      <c r="X246" s="174"/>
      <c r="Y246" s="193"/>
    </row>
    <row r="247" spans="1:25" x14ac:dyDescent="0.3">
      <c r="A247" s="171"/>
      <c r="B247" s="171"/>
      <c r="C247" s="171"/>
      <c r="D247" s="16" t="s">
        <v>2036</v>
      </c>
      <c r="E247" s="25"/>
      <c r="F247" s="25"/>
      <c r="G247" s="25"/>
      <c r="H247" s="25"/>
      <c r="I247" s="15"/>
      <c r="J247" s="21"/>
      <c r="K247" s="9"/>
      <c r="L247" s="9"/>
      <c r="M247" s="21"/>
      <c r="N247" s="174"/>
      <c r="O247" s="21"/>
      <c r="P247" s="21"/>
      <c r="Q247" s="21"/>
      <c r="R247" s="21"/>
      <c r="S247" s="10"/>
      <c r="T247" s="9"/>
      <c r="U247" s="21"/>
      <c r="V247" s="21"/>
      <c r="W247" s="21"/>
      <c r="X247" s="174"/>
      <c r="Y247" s="193"/>
    </row>
    <row r="248" spans="1:25" x14ac:dyDescent="0.3">
      <c r="A248" s="172"/>
      <c r="B248" s="172"/>
      <c r="C248" s="172"/>
      <c r="D248" s="16" t="s">
        <v>2036</v>
      </c>
      <c r="E248" s="23"/>
      <c r="F248" s="23"/>
      <c r="G248" s="23"/>
      <c r="H248" s="23"/>
      <c r="I248" s="15"/>
      <c r="J248" s="21"/>
      <c r="K248" s="9"/>
      <c r="L248" s="9"/>
      <c r="M248" s="21"/>
      <c r="N248" s="175"/>
      <c r="O248" s="21"/>
      <c r="P248" s="21"/>
      <c r="Q248" s="21"/>
      <c r="R248" s="21"/>
      <c r="S248" s="10"/>
      <c r="T248" s="9"/>
      <c r="U248" s="21"/>
      <c r="V248" s="21"/>
      <c r="W248" s="21"/>
      <c r="X248" s="175"/>
      <c r="Y248" s="194"/>
    </row>
    <row r="249" spans="1:25" x14ac:dyDescent="0.3">
      <c r="A249" s="170" t="s">
        <v>2536</v>
      </c>
      <c r="B249" s="170" t="s">
        <v>2566</v>
      </c>
      <c r="C249" s="170"/>
      <c r="D249" s="20" t="s">
        <v>2041</v>
      </c>
      <c r="E249" s="20"/>
      <c r="F249" s="20"/>
      <c r="G249" s="20"/>
      <c r="H249" s="20"/>
      <c r="I249" s="15"/>
      <c r="J249" s="21"/>
      <c r="K249" s="9" t="s">
        <v>2030</v>
      </c>
      <c r="L249" s="9"/>
      <c r="M249" s="21"/>
      <c r="N249" s="173"/>
      <c r="O249" s="21"/>
      <c r="P249" s="21"/>
      <c r="Q249" s="21"/>
      <c r="R249" s="21"/>
      <c r="S249" s="10"/>
      <c r="T249" s="9"/>
      <c r="U249" s="21" t="s">
        <v>2567</v>
      </c>
      <c r="V249" s="21"/>
      <c r="W249" s="14" t="s">
        <v>2062</v>
      </c>
      <c r="X249" s="173" t="s">
        <v>2568</v>
      </c>
      <c r="Y249" s="192" t="s">
        <v>2569</v>
      </c>
    </row>
    <row r="250" spans="1:25" x14ac:dyDescent="0.3">
      <c r="A250" s="171"/>
      <c r="B250" s="171"/>
      <c r="C250" s="171"/>
      <c r="D250" s="16" t="s">
        <v>2036</v>
      </c>
      <c r="E250" s="25"/>
      <c r="F250" s="25"/>
      <c r="G250" s="25"/>
      <c r="H250" s="25"/>
      <c r="I250" s="15"/>
      <c r="J250" s="21"/>
      <c r="K250" s="9"/>
      <c r="L250" s="9"/>
      <c r="M250" s="21"/>
      <c r="N250" s="174"/>
      <c r="O250" s="21"/>
      <c r="P250" s="21"/>
      <c r="Q250" s="21"/>
      <c r="R250" s="21"/>
      <c r="S250" s="10"/>
      <c r="T250" s="9"/>
      <c r="U250" s="21"/>
      <c r="V250" s="21"/>
      <c r="W250" s="21"/>
      <c r="X250" s="174"/>
      <c r="Y250" s="193"/>
    </row>
    <row r="251" spans="1:25" x14ac:dyDescent="0.3">
      <c r="A251" s="171"/>
      <c r="B251" s="171"/>
      <c r="C251" s="171"/>
      <c r="D251" s="16" t="s">
        <v>2036</v>
      </c>
      <c r="E251" s="25">
        <v>24</v>
      </c>
      <c r="F251" s="31">
        <f>SUM(P250:P253)/E251</f>
        <v>0</v>
      </c>
      <c r="G251" s="25">
        <v>96</v>
      </c>
      <c r="H251" s="31">
        <f>SUM(Q250:Q253)/G251</f>
        <v>0</v>
      </c>
      <c r="I251" s="15"/>
      <c r="J251" s="21"/>
      <c r="K251" s="9"/>
      <c r="L251" s="9"/>
      <c r="M251" s="21"/>
      <c r="N251" s="174"/>
      <c r="O251" s="21"/>
      <c r="P251" s="21"/>
      <c r="Q251" s="21"/>
      <c r="R251" s="21"/>
      <c r="S251" s="10"/>
      <c r="T251" s="9"/>
      <c r="U251" s="21"/>
      <c r="V251" s="21"/>
      <c r="W251" s="21"/>
      <c r="X251" s="174"/>
      <c r="Y251" s="193"/>
    </row>
    <row r="252" spans="1:25" x14ac:dyDescent="0.3">
      <c r="A252" s="171"/>
      <c r="B252" s="171"/>
      <c r="C252" s="171"/>
      <c r="D252" s="16" t="s">
        <v>2036</v>
      </c>
      <c r="E252" s="25"/>
      <c r="F252" s="25"/>
      <c r="G252" s="25"/>
      <c r="H252" s="25"/>
      <c r="I252" s="15"/>
      <c r="J252" s="21"/>
      <c r="K252" s="9"/>
      <c r="L252" s="9"/>
      <c r="M252" s="21"/>
      <c r="N252" s="174"/>
      <c r="O252" s="21"/>
      <c r="P252" s="21"/>
      <c r="Q252" s="21"/>
      <c r="R252" s="21"/>
      <c r="S252" s="10"/>
      <c r="T252" s="9"/>
      <c r="U252" s="21"/>
      <c r="V252" s="21"/>
      <c r="W252" s="21"/>
      <c r="X252" s="174"/>
      <c r="Y252" s="193"/>
    </row>
    <row r="253" spans="1:25" x14ac:dyDescent="0.3">
      <c r="A253" s="172"/>
      <c r="B253" s="172"/>
      <c r="C253" s="172"/>
      <c r="D253" s="16" t="s">
        <v>2036</v>
      </c>
      <c r="E253" s="23"/>
      <c r="F253" s="23"/>
      <c r="G253" s="23"/>
      <c r="H253" s="23"/>
      <c r="I253" s="15"/>
      <c r="J253" s="21"/>
      <c r="K253" s="9"/>
      <c r="L253" s="9"/>
      <c r="M253" s="21"/>
      <c r="N253" s="175"/>
      <c r="O253" s="21"/>
      <c r="P253" s="21"/>
      <c r="Q253" s="21"/>
      <c r="R253" s="21"/>
      <c r="S253" s="10"/>
      <c r="T253" s="9"/>
      <c r="U253" s="21"/>
      <c r="V253" s="21"/>
      <c r="W253" s="21"/>
      <c r="X253" s="175"/>
      <c r="Y253" s="194"/>
    </row>
    <row r="254" spans="1:25" x14ac:dyDescent="0.3">
      <c r="A254" s="170" t="s">
        <v>2536</v>
      </c>
      <c r="B254" s="170" t="s">
        <v>2570</v>
      </c>
      <c r="C254" s="170"/>
      <c r="D254" s="20" t="s">
        <v>2041</v>
      </c>
      <c r="E254" s="20"/>
      <c r="F254" s="20"/>
      <c r="G254" s="20"/>
      <c r="H254" s="20"/>
      <c r="I254" s="15"/>
      <c r="J254" s="21"/>
      <c r="K254" s="9" t="s">
        <v>2030</v>
      </c>
      <c r="L254" s="9"/>
      <c r="M254" s="21"/>
      <c r="N254" s="173"/>
      <c r="O254" s="21"/>
      <c r="P254" s="21"/>
      <c r="Q254" s="21"/>
      <c r="R254" s="21"/>
      <c r="S254" s="10"/>
      <c r="T254" s="9"/>
      <c r="U254" s="21" t="s">
        <v>2571</v>
      </c>
      <c r="V254" s="21"/>
      <c r="W254" s="14" t="s">
        <v>2219</v>
      </c>
      <c r="X254" s="173" t="s">
        <v>2572</v>
      </c>
      <c r="Y254" s="192" t="s">
        <v>2573</v>
      </c>
    </row>
    <row r="255" spans="1:25" x14ac:dyDescent="0.3">
      <c r="A255" s="171"/>
      <c r="B255" s="171"/>
      <c r="C255" s="171"/>
      <c r="D255" s="16" t="s">
        <v>2036</v>
      </c>
      <c r="E255" s="25"/>
      <c r="F255" s="25"/>
      <c r="G255" s="25"/>
      <c r="H255" s="25"/>
      <c r="I255" s="15"/>
      <c r="J255" s="21"/>
      <c r="K255" s="9"/>
      <c r="L255" s="9"/>
      <c r="M255" s="21"/>
      <c r="N255" s="174"/>
      <c r="O255" s="21"/>
      <c r="P255" s="21"/>
      <c r="Q255" s="21"/>
      <c r="R255" s="21"/>
      <c r="S255" s="10"/>
      <c r="T255" s="9"/>
      <c r="U255" s="21"/>
      <c r="V255" s="21"/>
      <c r="W255" s="21"/>
      <c r="X255" s="174"/>
      <c r="Y255" s="193"/>
    </row>
    <row r="256" spans="1:25" x14ac:dyDescent="0.3">
      <c r="A256" s="171"/>
      <c r="B256" s="171"/>
      <c r="C256" s="171"/>
      <c r="D256" s="16" t="s">
        <v>2036</v>
      </c>
      <c r="E256" s="25">
        <v>24</v>
      </c>
      <c r="F256" s="31">
        <f>SUM(P255:P259)/E256</f>
        <v>0</v>
      </c>
      <c r="G256" s="25">
        <v>96</v>
      </c>
      <c r="H256" s="31">
        <f>SUM(Q255:Q259)/G256</f>
        <v>0</v>
      </c>
      <c r="I256" s="15"/>
      <c r="J256" s="21"/>
      <c r="K256" s="9"/>
      <c r="L256" s="9"/>
      <c r="M256" s="21"/>
      <c r="N256" s="174"/>
      <c r="O256" s="21"/>
      <c r="P256" s="21"/>
      <c r="Q256" s="21"/>
      <c r="R256" s="21"/>
      <c r="S256" s="10"/>
      <c r="T256" s="9"/>
      <c r="U256" s="21"/>
      <c r="V256" s="21"/>
      <c r="W256" s="21"/>
      <c r="X256" s="174"/>
      <c r="Y256" s="193"/>
    </row>
    <row r="257" spans="1:25" x14ac:dyDescent="0.3">
      <c r="A257" s="171"/>
      <c r="B257" s="171"/>
      <c r="C257" s="171"/>
      <c r="D257" s="16" t="s">
        <v>2036</v>
      </c>
      <c r="E257" s="25"/>
      <c r="F257" s="25"/>
      <c r="G257" s="25"/>
      <c r="H257" s="25"/>
      <c r="I257" s="15"/>
      <c r="J257" s="21"/>
      <c r="K257" s="9"/>
      <c r="L257" s="9"/>
      <c r="M257" s="21"/>
      <c r="N257" s="174"/>
      <c r="O257" s="21"/>
      <c r="P257" s="21"/>
      <c r="Q257" s="21"/>
      <c r="R257" s="21"/>
      <c r="S257" s="10"/>
      <c r="T257" s="9"/>
      <c r="U257" s="21"/>
      <c r="V257" s="21"/>
      <c r="W257" s="21"/>
      <c r="X257" s="174"/>
      <c r="Y257" s="193"/>
    </row>
    <row r="258" spans="1:25" x14ac:dyDescent="0.3">
      <c r="A258" s="171"/>
      <c r="B258" s="171"/>
      <c r="C258" s="171"/>
      <c r="D258" s="16" t="s">
        <v>2036</v>
      </c>
      <c r="E258" s="25"/>
      <c r="F258" s="25"/>
      <c r="G258" s="25"/>
      <c r="H258" s="25"/>
      <c r="I258" s="15"/>
      <c r="J258" s="21"/>
      <c r="K258" s="9"/>
      <c r="L258" s="9"/>
      <c r="M258" s="21"/>
      <c r="N258" s="174"/>
      <c r="O258" s="21"/>
      <c r="P258" s="21"/>
      <c r="Q258" s="21"/>
      <c r="R258" s="21"/>
      <c r="S258" s="10"/>
      <c r="T258" s="9"/>
      <c r="U258" s="21"/>
      <c r="V258" s="21"/>
      <c r="W258" s="21"/>
      <c r="X258" s="174"/>
      <c r="Y258" s="193"/>
    </row>
    <row r="259" spans="1:25" x14ac:dyDescent="0.3">
      <c r="A259" s="172"/>
      <c r="B259" s="172"/>
      <c r="C259" s="172"/>
      <c r="D259" s="16" t="s">
        <v>2036</v>
      </c>
      <c r="E259" s="23"/>
      <c r="F259" s="23"/>
      <c r="G259" s="23"/>
      <c r="H259" s="23"/>
      <c r="I259" s="15"/>
      <c r="J259" s="21"/>
      <c r="K259" s="9"/>
      <c r="L259" s="9"/>
      <c r="M259" s="21"/>
      <c r="N259" s="175"/>
      <c r="O259" s="21"/>
      <c r="P259" s="21"/>
      <c r="Q259" s="21"/>
      <c r="R259" s="21"/>
      <c r="S259" s="10"/>
      <c r="T259" s="9"/>
      <c r="U259" s="21"/>
      <c r="V259" s="21"/>
      <c r="W259" s="21"/>
      <c r="X259" s="175"/>
      <c r="Y259" s="194"/>
    </row>
    <row r="260" spans="1:25" ht="30" x14ac:dyDescent="0.3">
      <c r="A260" s="23" t="s">
        <v>2026</v>
      </c>
      <c r="B260" s="23"/>
      <c r="C260" s="23"/>
      <c r="D260" s="16" t="s">
        <v>2041</v>
      </c>
      <c r="E260" s="23">
        <v>24</v>
      </c>
      <c r="F260" s="23"/>
      <c r="G260" s="23">
        <v>288</v>
      </c>
      <c r="H260" s="23"/>
      <c r="I260" s="15"/>
      <c r="J260" s="21"/>
      <c r="K260" s="9" t="s">
        <v>2574</v>
      </c>
      <c r="L260" s="9"/>
      <c r="M260" s="21"/>
      <c r="N260" s="28"/>
      <c r="O260" s="21"/>
      <c r="P260" s="21"/>
      <c r="Q260" s="21"/>
      <c r="R260" s="21"/>
      <c r="S260" s="10"/>
      <c r="T260" s="9"/>
      <c r="U260" s="21"/>
      <c r="V260" s="21"/>
      <c r="W260" s="35" t="s">
        <v>2575</v>
      </c>
      <c r="X260" s="35" t="s">
        <v>2576</v>
      </c>
      <c r="Y260" s="6" t="s">
        <v>2577</v>
      </c>
    </row>
    <row r="261" spans="1:25" ht="30" x14ac:dyDescent="0.3">
      <c r="A261" s="23" t="s">
        <v>2026</v>
      </c>
      <c r="B261" s="23"/>
      <c r="C261" s="23"/>
      <c r="D261" s="16" t="s">
        <v>2041</v>
      </c>
      <c r="E261" s="23">
        <v>24</v>
      </c>
      <c r="F261" s="23"/>
      <c r="G261" s="23">
        <v>288</v>
      </c>
      <c r="H261" s="23"/>
      <c r="I261" s="15"/>
      <c r="J261" s="21"/>
      <c r="K261" s="9" t="s">
        <v>2574</v>
      </c>
      <c r="L261" s="9"/>
      <c r="M261" s="21"/>
      <c r="N261" s="28"/>
      <c r="O261" s="21"/>
      <c r="P261" s="21"/>
      <c r="Q261" s="21"/>
      <c r="R261" s="21"/>
      <c r="S261" s="10"/>
      <c r="T261" s="9"/>
      <c r="U261" s="21"/>
      <c r="V261" s="21"/>
      <c r="W261" s="35" t="s">
        <v>2575</v>
      </c>
      <c r="X261" s="35" t="s">
        <v>2578</v>
      </c>
      <c r="Y261" s="6" t="s">
        <v>2579</v>
      </c>
    </row>
    <row r="262" spans="1:25" ht="30" x14ac:dyDescent="0.3">
      <c r="A262" s="23" t="s">
        <v>2026</v>
      </c>
      <c r="B262" s="23"/>
      <c r="C262" s="23"/>
      <c r="D262" s="16" t="s">
        <v>2580</v>
      </c>
      <c r="E262" s="23"/>
      <c r="F262" s="23"/>
      <c r="G262" s="23"/>
      <c r="H262" s="23"/>
      <c r="I262" s="15"/>
      <c r="J262" s="21"/>
      <c r="K262" s="9"/>
      <c r="L262" s="9"/>
      <c r="M262" s="21"/>
      <c r="N262" s="28"/>
      <c r="O262" s="21"/>
      <c r="P262" s="21"/>
      <c r="Q262" s="21"/>
      <c r="R262" s="21"/>
      <c r="S262" s="10"/>
      <c r="T262" s="9"/>
      <c r="U262" s="21"/>
      <c r="V262" s="21"/>
      <c r="W262" s="35" t="s">
        <v>2581</v>
      </c>
      <c r="X262" s="36" t="s">
        <v>2582</v>
      </c>
      <c r="Y262" s="11" t="s">
        <v>2583</v>
      </c>
    </row>
    <row r="263" spans="1:25" ht="30" x14ac:dyDescent="0.3">
      <c r="A263" s="23" t="s">
        <v>2584</v>
      </c>
      <c r="B263" s="23"/>
      <c r="C263" s="23"/>
      <c r="D263" s="16"/>
      <c r="E263" s="23"/>
      <c r="F263" s="23"/>
      <c r="G263" s="23"/>
      <c r="H263" s="23"/>
      <c r="I263" s="15"/>
      <c r="J263" s="21"/>
      <c r="K263" s="9"/>
      <c r="L263" s="9"/>
      <c r="M263" s="21"/>
      <c r="N263" s="28"/>
      <c r="O263" s="21"/>
      <c r="P263" s="21"/>
      <c r="Q263" s="21"/>
      <c r="R263" s="21"/>
      <c r="S263" s="10"/>
      <c r="T263" s="9"/>
      <c r="U263" s="21"/>
      <c r="V263" s="21"/>
      <c r="W263" s="35" t="s">
        <v>2585</v>
      </c>
      <c r="X263" s="36" t="s">
        <v>2586</v>
      </c>
      <c r="Y263" s="11" t="s">
        <v>2587</v>
      </c>
    </row>
    <row r="264" spans="1:25" ht="30" x14ac:dyDescent="0.3">
      <c r="A264" s="23" t="s">
        <v>2584</v>
      </c>
      <c r="B264" s="23"/>
      <c r="C264" s="23"/>
      <c r="D264" s="16"/>
      <c r="E264" s="23"/>
      <c r="F264" s="23"/>
      <c r="G264" s="23"/>
      <c r="H264" s="23"/>
      <c r="I264" s="15"/>
      <c r="J264" s="21"/>
      <c r="K264" s="9"/>
      <c r="L264" s="9"/>
      <c r="M264" s="21"/>
      <c r="N264" s="28"/>
      <c r="O264" s="21"/>
      <c r="P264" s="21"/>
      <c r="Q264" s="21"/>
      <c r="R264" s="21"/>
      <c r="S264" s="10"/>
      <c r="T264" s="9"/>
      <c r="U264" s="21"/>
      <c r="V264" s="21"/>
      <c r="W264" s="35" t="s">
        <v>2585</v>
      </c>
      <c r="X264" s="36" t="s">
        <v>2588</v>
      </c>
      <c r="Y264" s="11" t="s">
        <v>2589</v>
      </c>
    </row>
    <row r="265" spans="1:25" ht="30" x14ac:dyDescent="0.3">
      <c r="A265" s="23" t="s">
        <v>2590</v>
      </c>
      <c r="B265" s="23" t="s">
        <v>2591</v>
      </c>
      <c r="C265" s="23"/>
      <c r="D265" s="16"/>
      <c r="E265" s="23"/>
      <c r="F265" s="23"/>
      <c r="G265" s="23"/>
      <c r="H265" s="23"/>
      <c r="I265" s="15"/>
      <c r="J265" s="21"/>
      <c r="K265" s="9"/>
      <c r="L265" s="9"/>
      <c r="M265" s="21"/>
      <c r="N265" s="28"/>
      <c r="O265" s="21"/>
      <c r="P265" s="21"/>
      <c r="Q265" s="21"/>
      <c r="R265" s="21"/>
      <c r="S265" s="10"/>
      <c r="T265" s="9"/>
      <c r="U265" s="21"/>
      <c r="V265" s="21"/>
      <c r="W265" s="35" t="s">
        <v>2592</v>
      </c>
      <c r="X265" s="36" t="s">
        <v>2593</v>
      </c>
      <c r="Y265" s="11" t="s">
        <v>2594</v>
      </c>
    </row>
    <row r="266" spans="1:25" ht="30" x14ac:dyDescent="0.3">
      <c r="A266" s="23" t="s">
        <v>2590</v>
      </c>
      <c r="B266" s="23" t="s">
        <v>2591</v>
      </c>
      <c r="C266" s="23"/>
      <c r="D266" s="16"/>
      <c r="E266" s="23"/>
      <c r="F266" s="23"/>
      <c r="G266" s="23"/>
      <c r="H266" s="23"/>
      <c r="I266" s="15"/>
      <c r="J266" s="21"/>
      <c r="K266" s="9"/>
      <c r="L266" s="9"/>
      <c r="M266" s="21"/>
      <c r="N266" s="28"/>
      <c r="O266" s="21"/>
      <c r="P266" s="21"/>
      <c r="Q266" s="21"/>
      <c r="R266" s="21"/>
      <c r="S266" s="10"/>
      <c r="T266" s="9"/>
      <c r="U266" s="21"/>
      <c r="V266" s="21"/>
      <c r="W266" s="35" t="s">
        <v>2592</v>
      </c>
      <c r="X266" s="36" t="s">
        <v>2595</v>
      </c>
      <c r="Y266" s="11" t="s">
        <v>2596</v>
      </c>
    </row>
    <row r="267" spans="1:25" ht="30" x14ac:dyDescent="0.3">
      <c r="A267" s="23" t="s">
        <v>2597</v>
      </c>
      <c r="B267" s="23" t="s">
        <v>2598</v>
      </c>
      <c r="C267" s="23"/>
      <c r="D267" s="16"/>
      <c r="E267" s="23"/>
      <c r="F267" s="23"/>
      <c r="G267" s="23"/>
      <c r="H267" s="23"/>
      <c r="I267" s="15"/>
      <c r="J267" s="21"/>
      <c r="K267" s="9"/>
      <c r="L267" s="9"/>
      <c r="M267" s="21"/>
      <c r="N267" s="28"/>
      <c r="O267" s="21"/>
      <c r="P267" s="21"/>
      <c r="Q267" s="21"/>
      <c r="R267" s="21"/>
      <c r="S267" s="10"/>
      <c r="T267" s="9"/>
      <c r="U267" s="21"/>
      <c r="V267" s="21"/>
      <c r="W267" s="35" t="s">
        <v>2599</v>
      </c>
      <c r="X267" s="36" t="s">
        <v>2600</v>
      </c>
      <c r="Y267" s="11" t="s">
        <v>2601</v>
      </c>
    </row>
    <row r="268" spans="1:25" x14ac:dyDescent="0.3">
      <c r="A268" s="23" t="s">
        <v>2597</v>
      </c>
      <c r="B268" s="23" t="s">
        <v>2602</v>
      </c>
      <c r="C268" s="23"/>
      <c r="D268" s="16"/>
      <c r="E268" s="23"/>
      <c r="F268" s="23"/>
      <c r="G268" s="23"/>
      <c r="H268" s="23"/>
      <c r="I268" s="15"/>
      <c r="J268" s="21"/>
      <c r="K268" s="9"/>
      <c r="L268" s="9"/>
      <c r="M268" s="21"/>
      <c r="N268" s="28"/>
      <c r="O268" s="21"/>
      <c r="P268" s="21"/>
      <c r="Q268" s="21"/>
      <c r="R268" s="21"/>
      <c r="S268" s="10"/>
      <c r="T268" s="9"/>
      <c r="U268" s="21"/>
      <c r="V268" s="21"/>
      <c r="W268" s="35" t="s">
        <v>2599</v>
      </c>
      <c r="X268" s="36" t="s">
        <v>2600</v>
      </c>
      <c r="Y268" s="11"/>
    </row>
    <row r="269" spans="1:25" ht="30" x14ac:dyDescent="0.3">
      <c r="A269" s="23" t="s">
        <v>2597</v>
      </c>
      <c r="B269" s="23"/>
      <c r="C269" s="23"/>
      <c r="D269" s="16"/>
      <c r="E269" s="23"/>
      <c r="F269" s="23"/>
      <c r="G269" s="23"/>
      <c r="H269" s="23"/>
      <c r="I269" s="15"/>
      <c r="J269" s="21"/>
      <c r="K269" s="9"/>
      <c r="L269" s="9"/>
      <c r="M269" s="21"/>
      <c r="N269" s="28"/>
      <c r="O269" s="21"/>
      <c r="P269" s="21"/>
      <c r="Q269" s="21"/>
      <c r="R269" s="21"/>
      <c r="S269" s="10"/>
      <c r="T269" s="9"/>
      <c r="U269" s="21"/>
      <c r="V269" s="21"/>
      <c r="W269" s="35" t="s">
        <v>2599</v>
      </c>
      <c r="X269" s="36" t="s">
        <v>2603</v>
      </c>
      <c r="Y269" s="11" t="s">
        <v>2604</v>
      </c>
    </row>
    <row r="270" spans="1:25" ht="30" x14ac:dyDescent="0.3">
      <c r="A270" s="23" t="s">
        <v>2590</v>
      </c>
      <c r="B270" s="23" t="s">
        <v>2605</v>
      </c>
      <c r="C270" s="23"/>
      <c r="D270" s="16"/>
      <c r="E270" s="23"/>
      <c r="F270" s="23"/>
      <c r="G270" s="23"/>
      <c r="H270" s="23"/>
      <c r="I270" s="15"/>
      <c r="J270" s="21"/>
      <c r="K270" s="9"/>
      <c r="L270" s="9"/>
      <c r="M270" s="21"/>
      <c r="N270" s="28"/>
      <c r="O270" s="21"/>
      <c r="P270" s="21"/>
      <c r="Q270" s="21"/>
      <c r="R270" s="21"/>
      <c r="S270" s="10"/>
      <c r="T270" s="9"/>
      <c r="U270" s="21"/>
      <c r="V270" s="21"/>
      <c r="W270" s="35" t="s">
        <v>2592</v>
      </c>
      <c r="X270" s="36" t="s">
        <v>2606</v>
      </c>
      <c r="Y270" s="11" t="s">
        <v>2607</v>
      </c>
    </row>
    <row r="271" spans="1:25" ht="30" x14ac:dyDescent="0.3">
      <c r="A271" s="23" t="s">
        <v>2590</v>
      </c>
      <c r="B271" s="23" t="s">
        <v>2605</v>
      </c>
      <c r="C271" s="23"/>
      <c r="D271" s="16"/>
      <c r="E271" s="23"/>
      <c r="F271" s="23"/>
      <c r="G271" s="23"/>
      <c r="H271" s="23"/>
      <c r="I271" s="15"/>
      <c r="J271" s="21"/>
      <c r="K271" s="9"/>
      <c r="L271" s="9"/>
      <c r="M271" s="21"/>
      <c r="N271" s="28"/>
      <c r="O271" s="21"/>
      <c r="P271" s="21"/>
      <c r="Q271" s="21"/>
      <c r="R271" s="21"/>
      <c r="S271" s="10"/>
      <c r="T271" s="9"/>
      <c r="U271" s="21"/>
      <c r="V271" s="21"/>
      <c r="W271" s="35" t="s">
        <v>2592</v>
      </c>
      <c r="X271" s="36" t="s">
        <v>2608</v>
      </c>
      <c r="Y271" s="11" t="s">
        <v>2609</v>
      </c>
    </row>
    <row r="272" spans="1:25" ht="30" x14ac:dyDescent="0.3">
      <c r="A272" s="23" t="s">
        <v>2597</v>
      </c>
      <c r="B272" s="23" t="s">
        <v>2610</v>
      </c>
      <c r="C272" s="23"/>
      <c r="D272" s="16"/>
      <c r="E272" s="23"/>
      <c r="F272" s="23"/>
      <c r="G272" s="23"/>
      <c r="H272" s="23"/>
      <c r="I272" s="15"/>
      <c r="J272" s="21"/>
      <c r="K272" s="9"/>
      <c r="L272" s="9"/>
      <c r="M272" s="21"/>
      <c r="N272" s="28"/>
      <c r="O272" s="21"/>
      <c r="P272" s="21"/>
      <c r="Q272" s="21"/>
      <c r="R272" s="21"/>
      <c r="S272" s="10"/>
      <c r="T272" s="9"/>
      <c r="U272" s="21"/>
      <c r="V272" s="21"/>
      <c r="W272" s="35" t="s">
        <v>2611</v>
      </c>
      <c r="X272" s="36" t="s">
        <v>2612</v>
      </c>
      <c r="Y272" s="11" t="s">
        <v>2613</v>
      </c>
    </row>
    <row r="273" spans="1:25" ht="30" x14ac:dyDescent="0.3">
      <c r="A273" s="23" t="s">
        <v>2597</v>
      </c>
      <c r="B273" s="23" t="s">
        <v>2614</v>
      </c>
      <c r="C273" s="23"/>
      <c r="D273" s="16"/>
      <c r="E273" s="23"/>
      <c r="F273" s="23"/>
      <c r="G273" s="23"/>
      <c r="H273" s="23"/>
      <c r="I273" s="15"/>
      <c r="J273" s="21"/>
      <c r="K273" s="9"/>
      <c r="L273" s="9"/>
      <c r="M273" s="21"/>
      <c r="N273" s="28"/>
      <c r="O273" s="21"/>
      <c r="P273" s="21"/>
      <c r="Q273" s="21"/>
      <c r="R273" s="21"/>
      <c r="S273" s="10"/>
      <c r="T273" s="9"/>
      <c r="U273" s="21"/>
      <c r="V273" s="21"/>
      <c r="W273" s="35" t="s">
        <v>2611</v>
      </c>
      <c r="X273" s="36" t="s">
        <v>2615</v>
      </c>
      <c r="Y273" s="11" t="s">
        <v>2616</v>
      </c>
    </row>
    <row r="274" spans="1:25" ht="30" x14ac:dyDescent="0.3">
      <c r="A274" s="23" t="s">
        <v>2617</v>
      </c>
      <c r="B274" s="23" t="s">
        <v>2618</v>
      </c>
      <c r="C274" s="23"/>
      <c r="D274" s="16"/>
      <c r="E274" s="23"/>
      <c r="F274" s="23"/>
      <c r="G274" s="23"/>
      <c r="H274" s="23"/>
      <c r="I274" s="15"/>
      <c r="J274" s="21"/>
      <c r="K274" s="9"/>
      <c r="L274" s="9"/>
      <c r="M274" s="21"/>
      <c r="N274" s="28"/>
      <c r="O274" s="21"/>
      <c r="P274" s="21"/>
      <c r="Q274" s="21"/>
      <c r="R274" s="21"/>
      <c r="S274" s="10"/>
      <c r="T274" s="9"/>
      <c r="U274" s="21"/>
      <c r="V274" s="21"/>
      <c r="W274" s="35" t="s">
        <v>2619</v>
      </c>
      <c r="X274" s="36" t="s">
        <v>2620</v>
      </c>
      <c r="Y274" s="11" t="s">
        <v>2621</v>
      </c>
    </row>
    <row r="275" spans="1:25" ht="30" x14ac:dyDescent="0.3">
      <c r="A275" s="23" t="s">
        <v>2617</v>
      </c>
      <c r="B275" s="23" t="s">
        <v>2622</v>
      </c>
      <c r="C275" s="23"/>
      <c r="D275" s="16"/>
      <c r="E275" s="23"/>
      <c r="F275" s="23"/>
      <c r="G275" s="23"/>
      <c r="H275" s="23"/>
      <c r="I275" s="15"/>
      <c r="J275" s="21"/>
      <c r="K275" s="9"/>
      <c r="L275" s="9"/>
      <c r="M275" s="21"/>
      <c r="N275" s="28"/>
      <c r="O275" s="21"/>
      <c r="P275" s="21"/>
      <c r="Q275" s="21"/>
      <c r="R275" s="21"/>
      <c r="S275" s="10"/>
      <c r="T275" s="9"/>
      <c r="U275" s="21"/>
      <c r="V275" s="21"/>
      <c r="W275" s="35" t="s">
        <v>2619</v>
      </c>
      <c r="X275" s="36" t="s">
        <v>2623</v>
      </c>
      <c r="Y275" s="11" t="s">
        <v>2624</v>
      </c>
    </row>
    <row r="276" spans="1:25" ht="30" x14ac:dyDescent="0.3">
      <c r="A276" s="23" t="s">
        <v>2617</v>
      </c>
      <c r="B276" s="23" t="s">
        <v>2625</v>
      </c>
      <c r="C276" s="23"/>
      <c r="D276" s="16"/>
      <c r="E276" s="23"/>
      <c r="F276" s="23"/>
      <c r="G276" s="23"/>
      <c r="H276" s="23"/>
      <c r="I276" s="15"/>
      <c r="J276" s="21"/>
      <c r="K276" s="9"/>
      <c r="L276" s="9"/>
      <c r="M276" s="21"/>
      <c r="N276" s="28"/>
      <c r="O276" s="21"/>
      <c r="P276" s="21"/>
      <c r="Q276" s="21"/>
      <c r="R276" s="21"/>
      <c r="S276" s="10"/>
      <c r="T276" s="9"/>
      <c r="U276" s="21"/>
      <c r="V276" s="21"/>
      <c r="W276" s="35" t="s">
        <v>2619</v>
      </c>
      <c r="X276" s="36" t="s">
        <v>2626</v>
      </c>
      <c r="Y276" s="11" t="s">
        <v>2627</v>
      </c>
    </row>
    <row r="277" spans="1:25" ht="30" x14ac:dyDescent="0.3">
      <c r="A277" s="23" t="s">
        <v>2590</v>
      </c>
      <c r="B277" s="23" t="s">
        <v>2628</v>
      </c>
      <c r="C277" s="23"/>
      <c r="D277" s="16"/>
      <c r="E277" s="23"/>
      <c r="F277" s="23"/>
      <c r="G277" s="23"/>
      <c r="H277" s="23"/>
      <c r="I277" s="15"/>
      <c r="J277" s="21"/>
      <c r="K277" s="9"/>
      <c r="L277" s="9"/>
      <c r="M277" s="21"/>
      <c r="N277" s="28"/>
      <c r="O277" s="21"/>
      <c r="P277" s="21"/>
      <c r="Q277" s="21"/>
      <c r="R277" s="21"/>
      <c r="S277" s="10"/>
      <c r="T277" s="9"/>
      <c r="U277" s="21"/>
      <c r="V277" s="21"/>
      <c r="W277" s="35" t="s">
        <v>2629</v>
      </c>
      <c r="X277" s="36" t="s">
        <v>2630</v>
      </c>
      <c r="Y277" s="11" t="s">
        <v>2631</v>
      </c>
    </row>
    <row r="278" spans="1:25" ht="30" x14ac:dyDescent="0.3">
      <c r="A278" s="23" t="s">
        <v>2590</v>
      </c>
      <c r="B278" s="23" t="s">
        <v>2628</v>
      </c>
      <c r="C278" s="23"/>
      <c r="D278" s="16"/>
      <c r="E278" s="23"/>
      <c r="F278" s="23"/>
      <c r="G278" s="23"/>
      <c r="H278" s="23"/>
      <c r="I278" s="15"/>
      <c r="J278" s="21"/>
      <c r="K278" s="9"/>
      <c r="L278" s="9"/>
      <c r="M278" s="21"/>
      <c r="N278" s="28"/>
      <c r="O278" s="21"/>
      <c r="P278" s="21"/>
      <c r="Q278" s="21"/>
      <c r="R278" s="21"/>
      <c r="S278" s="10"/>
      <c r="T278" s="9"/>
      <c r="U278" s="21"/>
      <c r="V278" s="21"/>
      <c r="W278" s="35" t="s">
        <v>2629</v>
      </c>
      <c r="X278" s="36" t="s">
        <v>2632</v>
      </c>
      <c r="Y278" s="11" t="s">
        <v>2633</v>
      </c>
    </row>
    <row r="279" spans="1:25" ht="30" x14ac:dyDescent="0.3">
      <c r="A279" s="23" t="s">
        <v>2634</v>
      </c>
      <c r="B279" s="23"/>
      <c r="C279" s="23"/>
      <c r="D279" s="16"/>
      <c r="E279" s="23"/>
      <c r="F279" s="23"/>
      <c r="G279" s="23"/>
      <c r="H279" s="23"/>
      <c r="I279" s="15"/>
      <c r="J279" s="21"/>
      <c r="K279" s="9"/>
      <c r="L279" s="9"/>
      <c r="M279" s="21"/>
      <c r="N279" s="28"/>
      <c r="O279" s="21"/>
      <c r="P279" s="21"/>
      <c r="Q279" s="21"/>
      <c r="R279" s="21"/>
      <c r="S279" s="10"/>
      <c r="T279" s="9"/>
      <c r="U279" s="21"/>
      <c r="V279" s="21"/>
      <c r="W279" s="35"/>
      <c r="X279" s="36" t="s">
        <v>2635</v>
      </c>
      <c r="Y279" s="11" t="s">
        <v>2636</v>
      </c>
    </row>
    <row r="280" spans="1:25" ht="30" x14ac:dyDescent="0.3">
      <c r="A280" s="23" t="s">
        <v>2637</v>
      </c>
      <c r="B280" s="23" t="s">
        <v>2638</v>
      </c>
      <c r="C280" s="23"/>
      <c r="D280" s="16"/>
      <c r="E280" s="23"/>
      <c r="F280" s="23"/>
      <c r="G280" s="23"/>
      <c r="H280" s="23"/>
      <c r="I280" s="15"/>
      <c r="J280" s="21"/>
      <c r="K280" s="9"/>
      <c r="L280" s="9"/>
      <c r="M280" s="21"/>
      <c r="N280" s="28"/>
      <c r="O280" s="21"/>
      <c r="P280" s="21"/>
      <c r="Q280" s="21"/>
      <c r="R280" s="21"/>
      <c r="S280" s="10"/>
      <c r="T280" s="9"/>
      <c r="U280" s="21"/>
      <c r="V280" s="21"/>
      <c r="W280" s="35" t="s">
        <v>2639</v>
      </c>
      <c r="X280" s="36" t="s">
        <v>2640</v>
      </c>
      <c r="Y280" s="11" t="s">
        <v>2641</v>
      </c>
    </row>
    <row r="281" spans="1:25" x14ac:dyDescent="0.3">
      <c r="A281" s="23" t="s">
        <v>2642</v>
      </c>
      <c r="B281" s="23" t="s">
        <v>2643</v>
      </c>
      <c r="C281" s="23"/>
      <c r="D281" s="16"/>
      <c r="E281" s="23"/>
      <c r="F281" s="23"/>
      <c r="G281" s="23"/>
      <c r="H281" s="23"/>
      <c r="I281" s="15"/>
      <c r="J281" s="21"/>
      <c r="K281" s="9"/>
      <c r="L281" s="9"/>
      <c r="M281" s="21"/>
      <c r="N281" s="28"/>
      <c r="O281" s="21"/>
      <c r="P281" s="21"/>
      <c r="Q281" s="21"/>
      <c r="R281" s="21"/>
      <c r="S281" s="10"/>
      <c r="T281" s="9"/>
      <c r="U281" s="21"/>
      <c r="V281" s="21"/>
      <c r="W281" s="35" t="s">
        <v>2644</v>
      </c>
      <c r="X281" s="36" t="s">
        <v>2645</v>
      </c>
      <c r="Y281" s="11"/>
    </row>
    <row r="282" spans="1:25" x14ac:dyDescent="0.3">
      <c r="A282" s="23" t="s">
        <v>2642</v>
      </c>
      <c r="B282" s="23" t="s">
        <v>2646</v>
      </c>
      <c r="C282" s="23"/>
      <c r="D282" s="16"/>
      <c r="E282" s="23"/>
      <c r="F282" s="23"/>
      <c r="G282" s="23"/>
      <c r="H282" s="23"/>
      <c r="I282" s="15"/>
      <c r="J282" s="21"/>
      <c r="K282" s="9"/>
      <c r="L282" s="9"/>
      <c r="M282" s="21"/>
      <c r="N282" s="28"/>
      <c r="O282" s="21"/>
      <c r="P282" s="21"/>
      <c r="Q282" s="21"/>
      <c r="R282" s="21"/>
      <c r="S282" s="10"/>
      <c r="T282" s="9"/>
      <c r="U282" s="21"/>
      <c r="V282" s="21"/>
      <c r="W282" s="35" t="s">
        <v>2644</v>
      </c>
      <c r="X282" s="36" t="s">
        <v>2647</v>
      </c>
      <c r="Y282" s="11"/>
    </row>
    <row r="283" spans="1:25" x14ac:dyDescent="0.3">
      <c r="A283" s="23" t="s">
        <v>2648</v>
      </c>
      <c r="B283" s="23"/>
      <c r="C283" s="23"/>
      <c r="D283" s="16"/>
      <c r="E283" s="23"/>
      <c r="F283" s="23"/>
      <c r="G283" s="23"/>
      <c r="H283" s="23"/>
      <c r="I283" s="15"/>
      <c r="J283" s="21"/>
      <c r="K283" s="9"/>
      <c r="L283" s="9"/>
      <c r="M283" s="21"/>
      <c r="N283" s="28"/>
      <c r="O283" s="21"/>
      <c r="P283" s="21"/>
      <c r="Q283" s="21"/>
      <c r="R283" s="21"/>
      <c r="S283" s="10"/>
      <c r="T283" s="9"/>
      <c r="U283" s="21"/>
      <c r="V283" s="21"/>
      <c r="W283" s="35" t="s">
        <v>2649</v>
      </c>
      <c r="X283" s="36" t="s">
        <v>2650</v>
      </c>
      <c r="Y283" s="11"/>
    </row>
    <row r="284" spans="1:25" ht="30" x14ac:dyDescent="0.3">
      <c r="A284" s="23" t="s">
        <v>2648</v>
      </c>
      <c r="B284" s="23"/>
      <c r="C284" s="23"/>
      <c r="D284" s="16"/>
      <c r="E284" s="23"/>
      <c r="F284" s="23"/>
      <c r="G284" s="23"/>
      <c r="H284" s="23"/>
      <c r="I284" s="15"/>
      <c r="J284" s="21"/>
      <c r="K284" s="9"/>
      <c r="L284" s="9"/>
      <c r="M284" s="21"/>
      <c r="N284" s="28"/>
      <c r="O284" s="21"/>
      <c r="P284" s="21"/>
      <c r="Q284" s="21"/>
      <c r="R284" s="21"/>
      <c r="S284" s="10"/>
      <c r="T284" s="9"/>
      <c r="U284" s="21"/>
      <c r="V284" s="21"/>
      <c r="W284" s="35" t="s">
        <v>2651</v>
      </c>
      <c r="X284" s="36" t="s">
        <v>2652</v>
      </c>
      <c r="Y284" s="11" t="s">
        <v>2653</v>
      </c>
    </row>
    <row r="285" spans="1:25" ht="30" x14ac:dyDescent="0.3">
      <c r="A285" s="23" t="s">
        <v>2654</v>
      </c>
      <c r="B285" s="23"/>
      <c r="C285" s="23"/>
      <c r="D285" s="16"/>
      <c r="E285" s="23"/>
      <c r="F285" s="23"/>
      <c r="G285" s="23"/>
      <c r="H285" s="23"/>
      <c r="I285" s="15"/>
      <c r="J285" s="21"/>
      <c r="K285" s="9"/>
      <c r="L285" s="9"/>
      <c r="M285" s="21"/>
      <c r="N285" s="28"/>
      <c r="O285" s="21"/>
      <c r="P285" s="21"/>
      <c r="Q285" s="21"/>
      <c r="R285" s="21"/>
      <c r="S285" s="10"/>
      <c r="T285" s="9"/>
      <c r="U285" s="21"/>
      <c r="V285" s="21"/>
      <c r="W285" s="35" t="s">
        <v>2655</v>
      </c>
      <c r="X285" s="36" t="s">
        <v>2656</v>
      </c>
      <c r="Y285" s="11" t="s">
        <v>2657</v>
      </c>
    </row>
    <row r="286" spans="1:25" ht="30" x14ac:dyDescent="0.3">
      <c r="A286" s="23" t="s">
        <v>2654</v>
      </c>
      <c r="B286" s="23"/>
      <c r="C286" s="23"/>
      <c r="D286" s="16"/>
      <c r="E286" s="23"/>
      <c r="F286" s="23"/>
      <c r="G286" s="23"/>
      <c r="H286" s="23"/>
      <c r="I286" s="15"/>
      <c r="J286" s="21"/>
      <c r="K286" s="9"/>
      <c r="L286" s="9"/>
      <c r="M286" s="21"/>
      <c r="N286" s="28"/>
      <c r="O286" s="21"/>
      <c r="P286" s="21"/>
      <c r="Q286" s="21"/>
      <c r="R286" s="21"/>
      <c r="S286" s="10"/>
      <c r="T286" s="9"/>
      <c r="U286" s="21"/>
      <c r="V286" s="21"/>
      <c r="W286" s="35" t="s">
        <v>2658</v>
      </c>
      <c r="X286" s="36" t="s">
        <v>2659</v>
      </c>
      <c r="Y286" s="11" t="s">
        <v>2660</v>
      </c>
    </row>
    <row r="287" spans="1:25" ht="30" x14ac:dyDescent="0.3">
      <c r="A287" s="23" t="s">
        <v>2654</v>
      </c>
      <c r="B287" s="23"/>
      <c r="C287" s="23"/>
      <c r="D287" s="16"/>
      <c r="E287" s="23"/>
      <c r="F287" s="23"/>
      <c r="G287" s="23"/>
      <c r="H287" s="23"/>
      <c r="I287" s="15"/>
      <c r="J287" s="21"/>
      <c r="K287" s="9"/>
      <c r="L287" s="9"/>
      <c r="M287" s="21"/>
      <c r="N287" s="28"/>
      <c r="O287" s="21"/>
      <c r="P287" s="21"/>
      <c r="Q287" s="21"/>
      <c r="R287" s="21"/>
      <c r="S287" s="10"/>
      <c r="T287" s="9"/>
      <c r="U287" s="21"/>
      <c r="V287" s="21"/>
      <c r="W287" s="35" t="s">
        <v>2658</v>
      </c>
      <c r="X287" s="36" t="s">
        <v>2661</v>
      </c>
      <c r="Y287" s="11" t="s">
        <v>2662</v>
      </c>
    </row>
    <row r="288" spans="1:25" ht="30" x14ac:dyDescent="0.3">
      <c r="A288" s="23" t="s">
        <v>2663</v>
      </c>
      <c r="B288" s="23"/>
      <c r="C288" s="23"/>
      <c r="D288" s="16"/>
      <c r="E288" s="23"/>
      <c r="F288" s="23"/>
      <c r="G288" s="23"/>
      <c r="H288" s="23"/>
      <c r="I288" s="15"/>
      <c r="J288" s="21"/>
      <c r="K288" s="9"/>
      <c r="L288" s="9"/>
      <c r="M288" s="21"/>
      <c r="N288" s="28"/>
      <c r="O288" s="21"/>
      <c r="P288" s="21"/>
      <c r="Q288" s="21"/>
      <c r="R288" s="21"/>
      <c r="S288" s="10"/>
      <c r="T288" s="9"/>
      <c r="U288" s="21"/>
      <c r="V288" s="21"/>
      <c r="W288" s="35" t="s">
        <v>2664</v>
      </c>
      <c r="X288" s="36" t="s">
        <v>2665</v>
      </c>
      <c r="Y288" s="11" t="s">
        <v>2666</v>
      </c>
    </row>
    <row r="289" spans="1:25" ht="30" x14ac:dyDescent="0.3">
      <c r="A289" s="23" t="s">
        <v>2663</v>
      </c>
      <c r="B289" s="23"/>
      <c r="C289" s="23"/>
      <c r="D289" s="16"/>
      <c r="E289" s="23"/>
      <c r="F289" s="23"/>
      <c r="G289" s="23"/>
      <c r="H289" s="23"/>
      <c r="I289" s="15"/>
      <c r="J289" s="21"/>
      <c r="K289" s="9"/>
      <c r="L289" s="9"/>
      <c r="M289" s="21"/>
      <c r="N289" s="28"/>
      <c r="O289" s="21"/>
      <c r="P289" s="21"/>
      <c r="Q289" s="21"/>
      <c r="R289" s="21"/>
      <c r="S289" s="10"/>
      <c r="T289" s="9"/>
      <c r="U289" s="21"/>
      <c r="V289" s="21"/>
      <c r="W289" s="35" t="s">
        <v>2664</v>
      </c>
      <c r="X289" s="36" t="s">
        <v>2667</v>
      </c>
      <c r="Y289" s="11" t="s">
        <v>2668</v>
      </c>
    </row>
    <row r="290" spans="1:25" x14ac:dyDescent="0.3">
      <c r="A290" s="23" t="s">
        <v>2590</v>
      </c>
      <c r="B290" s="23" t="s">
        <v>2669</v>
      </c>
      <c r="C290" s="23"/>
      <c r="D290" s="16"/>
      <c r="E290" s="23"/>
      <c r="F290" s="23"/>
      <c r="G290" s="23"/>
      <c r="H290" s="23"/>
      <c r="I290" s="15"/>
      <c r="J290" s="21"/>
      <c r="K290" s="9"/>
      <c r="L290" s="9"/>
      <c r="M290" s="21"/>
      <c r="N290" s="28"/>
      <c r="O290" s="21"/>
      <c r="P290" s="21"/>
      <c r="Q290" s="21"/>
      <c r="R290" s="21"/>
      <c r="S290" s="10"/>
      <c r="T290" s="9"/>
      <c r="U290" s="21"/>
      <c r="V290" s="21"/>
      <c r="W290" s="35" t="s">
        <v>2629</v>
      </c>
      <c r="X290" s="36" t="s">
        <v>2670</v>
      </c>
      <c r="Y290" s="11"/>
    </row>
    <row r="291" spans="1:25" ht="30" x14ac:dyDescent="0.3">
      <c r="A291" s="23" t="s">
        <v>2590</v>
      </c>
      <c r="B291" s="23" t="s">
        <v>2669</v>
      </c>
      <c r="C291" s="23"/>
      <c r="D291" s="16"/>
      <c r="E291" s="23"/>
      <c r="F291" s="23"/>
      <c r="G291" s="23"/>
      <c r="H291" s="23"/>
      <c r="I291" s="15"/>
      <c r="J291" s="21"/>
      <c r="K291" s="9"/>
      <c r="L291" s="9"/>
      <c r="M291" s="21"/>
      <c r="N291" s="28"/>
      <c r="O291" s="21"/>
      <c r="P291" s="21"/>
      <c r="Q291" s="21"/>
      <c r="R291" s="21"/>
      <c r="S291" s="10"/>
      <c r="T291" s="9"/>
      <c r="U291" s="21"/>
      <c r="V291" s="21"/>
      <c r="W291" s="35" t="s">
        <v>2592</v>
      </c>
      <c r="X291" s="36" t="s">
        <v>2671</v>
      </c>
      <c r="Y291" s="11" t="s">
        <v>2672</v>
      </c>
    </row>
    <row r="292" spans="1:25" ht="30" x14ac:dyDescent="0.3">
      <c r="A292" s="23" t="s">
        <v>2590</v>
      </c>
      <c r="B292" s="23" t="s">
        <v>2669</v>
      </c>
      <c r="C292" s="23"/>
      <c r="D292" s="16"/>
      <c r="E292" s="23"/>
      <c r="F292" s="23"/>
      <c r="G292" s="23"/>
      <c r="H292" s="23"/>
      <c r="I292" s="15"/>
      <c r="J292" s="21"/>
      <c r="K292" s="9"/>
      <c r="L292" s="9"/>
      <c r="M292" s="21"/>
      <c r="N292" s="28"/>
      <c r="O292" s="21"/>
      <c r="P292" s="21"/>
      <c r="Q292" s="21"/>
      <c r="R292" s="21"/>
      <c r="S292" s="10"/>
      <c r="T292" s="9"/>
      <c r="U292" s="21"/>
      <c r="V292" s="21"/>
      <c r="W292" s="35" t="s">
        <v>2673</v>
      </c>
      <c r="X292" s="36" t="s">
        <v>2674</v>
      </c>
      <c r="Y292" s="11" t="s">
        <v>2675</v>
      </c>
    </row>
    <row r="293" spans="1:25" x14ac:dyDescent="0.3">
      <c r="A293" s="23" t="s">
        <v>2590</v>
      </c>
      <c r="B293" s="23" t="s">
        <v>2676</v>
      </c>
      <c r="C293" s="23"/>
      <c r="D293" s="16"/>
      <c r="E293" s="23"/>
      <c r="F293" s="23"/>
      <c r="G293" s="23"/>
      <c r="H293" s="23"/>
      <c r="I293" s="15"/>
      <c r="J293" s="21"/>
      <c r="K293" s="9"/>
      <c r="L293" s="9"/>
      <c r="M293" s="21"/>
      <c r="N293" s="28"/>
      <c r="O293" s="21"/>
      <c r="P293" s="21"/>
      <c r="Q293" s="21"/>
      <c r="R293" s="21"/>
      <c r="S293" s="10"/>
      <c r="T293" s="9"/>
      <c r="U293" s="21"/>
      <c r="V293" s="21"/>
      <c r="W293" s="35" t="s">
        <v>2629</v>
      </c>
      <c r="X293" s="36" t="s">
        <v>2677</v>
      </c>
      <c r="Y293" s="11"/>
    </row>
    <row r="294" spans="1:25" ht="30" x14ac:dyDescent="0.3">
      <c r="A294" s="23" t="s">
        <v>2590</v>
      </c>
      <c r="B294" s="23" t="s">
        <v>2676</v>
      </c>
      <c r="C294" s="23"/>
      <c r="D294" s="16"/>
      <c r="E294" s="23"/>
      <c r="F294" s="23"/>
      <c r="G294" s="23"/>
      <c r="H294" s="23"/>
      <c r="I294" s="15"/>
      <c r="J294" s="21"/>
      <c r="K294" s="9"/>
      <c r="L294" s="9"/>
      <c r="M294" s="21"/>
      <c r="N294" s="28"/>
      <c r="O294" s="21"/>
      <c r="P294" s="21"/>
      <c r="Q294" s="21"/>
      <c r="R294" s="21"/>
      <c r="S294" s="10"/>
      <c r="T294" s="9"/>
      <c r="U294" s="21"/>
      <c r="V294" s="21"/>
      <c r="W294" s="35" t="s">
        <v>2592</v>
      </c>
      <c r="X294" s="36" t="s">
        <v>2678</v>
      </c>
      <c r="Y294" s="11" t="s">
        <v>2679</v>
      </c>
    </row>
    <row r="295" spans="1:25" ht="30" x14ac:dyDescent="0.3">
      <c r="A295" s="23" t="s">
        <v>2590</v>
      </c>
      <c r="B295" s="23" t="s">
        <v>2676</v>
      </c>
      <c r="C295" s="23"/>
      <c r="D295" s="16"/>
      <c r="E295" s="23"/>
      <c r="F295" s="23"/>
      <c r="G295" s="23"/>
      <c r="H295" s="23"/>
      <c r="I295" s="15"/>
      <c r="J295" s="21"/>
      <c r="K295" s="9"/>
      <c r="L295" s="9"/>
      <c r="M295" s="21"/>
      <c r="N295" s="28"/>
      <c r="O295" s="21"/>
      <c r="P295" s="21"/>
      <c r="Q295" s="21"/>
      <c r="R295" s="21"/>
      <c r="S295" s="10"/>
      <c r="T295" s="9"/>
      <c r="U295" s="21"/>
      <c r="V295" s="21"/>
      <c r="W295" s="35" t="s">
        <v>2673</v>
      </c>
      <c r="X295" s="36" t="s">
        <v>2680</v>
      </c>
      <c r="Y295" s="11" t="s">
        <v>2681</v>
      </c>
    </row>
    <row r="296" spans="1:25" ht="30" x14ac:dyDescent="0.3">
      <c r="A296" s="23" t="s">
        <v>2682</v>
      </c>
      <c r="B296" s="23" t="s">
        <v>2683</v>
      </c>
      <c r="C296" s="23"/>
      <c r="D296" s="16"/>
      <c r="E296" s="23"/>
      <c r="F296" s="23"/>
      <c r="G296" s="23"/>
      <c r="H296" s="23"/>
      <c r="I296" s="15"/>
      <c r="J296" s="21"/>
      <c r="K296" s="9"/>
      <c r="L296" s="9"/>
      <c r="M296" s="21"/>
      <c r="N296" s="28"/>
      <c r="O296" s="21"/>
      <c r="P296" s="21"/>
      <c r="Q296" s="21"/>
      <c r="R296" s="21"/>
      <c r="S296" s="10"/>
      <c r="T296" s="9"/>
      <c r="U296" s="21"/>
      <c r="V296" s="21"/>
      <c r="W296" s="35" t="s">
        <v>2684</v>
      </c>
      <c r="X296" s="36" t="s">
        <v>2685</v>
      </c>
      <c r="Y296" s="11" t="s">
        <v>2686</v>
      </c>
    </row>
    <row r="297" spans="1:25" ht="30" x14ac:dyDescent="0.3">
      <c r="A297" s="23" t="s">
        <v>2682</v>
      </c>
      <c r="B297" s="23" t="s">
        <v>2687</v>
      </c>
      <c r="C297" s="23"/>
      <c r="D297" s="16"/>
      <c r="E297" s="23"/>
      <c r="F297" s="23"/>
      <c r="G297" s="23"/>
      <c r="H297" s="23"/>
      <c r="I297" s="15"/>
      <c r="J297" s="21"/>
      <c r="K297" s="9"/>
      <c r="L297" s="9"/>
      <c r="M297" s="21"/>
      <c r="N297" s="28"/>
      <c r="O297" s="21"/>
      <c r="P297" s="21"/>
      <c r="Q297" s="21"/>
      <c r="R297" s="21"/>
      <c r="S297" s="10"/>
      <c r="T297" s="9"/>
      <c r="U297" s="21"/>
      <c r="V297" s="21"/>
      <c r="W297" s="35" t="s">
        <v>2688</v>
      </c>
      <c r="X297" s="36" t="s">
        <v>2689</v>
      </c>
      <c r="Y297" s="11" t="s">
        <v>2690</v>
      </c>
    </row>
    <row r="298" spans="1:25" x14ac:dyDescent="0.3">
      <c r="A298" s="23" t="s">
        <v>2691</v>
      </c>
      <c r="B298" s="23"/>
      <c r="C298" s="23"/>
      <c r="D298" s="16"/>
      <c r="E298" s="23"/>
      <c r="F298" s="23"/>
      <c r="G298" s="23"/>
      <c r="H298" s="23"/>
      <c r="I298" s="15"/>
      <c r="J298" s="21"/>
      <c r="K298" s="9"/>
      <c r="L298" s="9"/>
      <c r="M298" s="21"/>
      <c r="N298" s="28"/>
      <c r="O298" s="21"/>
      <c r="P298" s="21"/>
      <c r="Q298" s="21"/>
      <c r="R298" s="21"/>
      <c r="S298" s="10"/>
      <c r="T298" s="9"/>
      <c r="U298" s="21"/>
      <c r="V298" s="21"/>
      <c r="W298" s="35" t="s">
        <v>2692</v>
      </c>
      <c r="X298" s="36" t="s">
        <v>2693</v>
      </c>
      <c r="Y298" s="11"/>
    </row>
    <row r="299" spans="1:25" x14ac:dyDescent="0.3">
      <c r="A299" s="23" t="s">
        <v>2691</v>
      </c>
      <c r="B299" s="23"/>
      <c r="C299" s="23"/>
      <c r="D299" s="16"/>
      <c r="E299" s="23"/>
      <c r="F299" s="23"/>
      <c r="G299" s="23"/>
      <c r="H299" s="23"/>
      <c r="I299" s="15"/>
      <c r="J299" s="21"/>
      <c r="K299" s="9"/>
      <c r="L299" s="9"/>
      <c r="M299" s="21"/>
      <c r="N299" s="28"/>
      <c r="O299" s="21"/>
      <c r="P299" s="21"/>
      <c r="Q299" s="21"/>
      <c r="R299" s="21"/>
      <c r="S299" s="10"/>
      <c r="T299" s="9"/>
      <c r="U299" s="21"/>
      <c r="V299" s="21"/>
      <c r="W299" s="35" t="s">
        <v>2692</v>
      </c>
      <c r="X299" s="36" t="s">
        <v>2694</v>
      </c>
      <c r="Y299" s="11"/>
    </row>
    <row r="300" spans="1:25" x14ac:dyDescent="0.3">
      <c r="A300" s="23" t="s">
        <v>2691</v>
      </c>
      <c r="B300" s="23"/>
      <c r="C300" s="23"/>
      <c r="D300" s="16"/>
      <c r="E300" s="23"/>
      <c r="F300" s="23"/>
      <c r="G300" s="23"/>
      <c r="H300" s="23"/>
      <c r="I300" s="15"/>
      <c r="J300" s="21"/>
      <c r="K300" s="9"/>
      <c r="L300" s="9"/>
      <c r="M300" s="21"/>
      <c r="N300" s="28"/>
      <c r="O300" s="21"/>
      <c r="P300" s="21"/>
      <c r="Q300" s="21"/>
      <c r="R300" s="21"/>
      <c r="S300" s="10"/>
      <c r="T300" s="9"/>
      <c r="U300" s="21"/>
      <c r="V300" s="21"/>
      <c r="W300" s="35" t="s">
        <v>2695</v>
      </c>
      <c r="X300" s="36" t="s">
        <v>2696</v>
      </c>
      <c r="Y300" s="11"/>
    </row>
    <row r="301" spans="1:25" ht="30" x14ac:dyDescent="0.3">
      <c r="A301" s="23" t="s">
        <v>2026</v>
      </c>
      <c r="B301" s="23"/>
      <c r="C301" s="23"/>
      <c r="D301" s="16"/>
      <c r="E301" s="23"/>
      <c r="F301" s="23"/>
      <c r="G301" s="23"/>
      <c r="H301" s="23"/>
      <c r="I301" s="15"/>
      <c r="J301" s="21"/>
      <c r="K301" s="9"/>
      <c r="L301" s="9"/>
      <c r="M301" s="21"/>
      <c r="N301" s="28"/>
      <c r="O301" s="21"/>
      <c r="P301" s="21"/>
      <c r="Q301" s="21"/>
      <c r="R301" s="21"/>
      <c r="S301" s="10"/>
      <c r="T301" s="9"/>
      <c r="U301" s="21"/>
      <c r="V301" s="21"/>
      <c r="W301" s="35" t="s">
        <v>2697</v>
      </c>
      <c r="X301" s="36" t="s">
        <v>2698</v>
      </c>
      <c r="Y301" s="11" t="s">
        <v>2699</v>
      </c>
    </row>
    <row r="302" spans="1:25" ht="30" x14ac:dyDescent="0.3">
      <c r="A302" s="23" t="s">
        <v>2590</v>
      </c>
      <c r="B302" s="23" t="s">
        <v>2700</v>
      </c>
      <c r="C302" s="23"/>
      <c r="D302" s="16"/>
      <c r="E302" s="23"/>
      <c r="F302" s="23"/>
      <c r="G302" s="23"/>
      <c r="H302" s="23"/>
      <c r="I302" s="15"/>
      <c r="J302" s="21"/>
      <c r="K302" s="9"/>
      <c r="L302" s="9"/>
      <c r="M302" s="21"/>
      <c r="N302" s="28"/>
      <c r="O302" s="21"/>
      <c r="P302" s="21"/>
      <c r="Q302" s="21"/>
      <c r="R302" s="21"/>
      <c r="S302" s="10"/>
      <c r="T302" s="9"/>
      <c r="U302" s="21"/>
      <c r="V302" s="21"/>
      <c r="W302" s="35" t="s">
        <v>2592</v>
      </c>
      <c r="X302" s="36" t="s">
        <v>2701</v>
      </c>
      <c r="Y302" s="11" t="s">
        <v>2702</v>
      </c>
    </row>
    <row r="303" spans="1:25" ht="30" x14ac:dyDescent="0.3">
      <c r="A303" s="23" t="s">
        <v>2590</v>
      </c>
      <c r="B303" s="23" t="s">
        <v>2700</v>
      </c>
      <c r="C303" s="23"/>
      <c r="D303" s="16"/>
      <c r="E303" s="23"/>
      <c r="F303" s="23"/>
      <c r="G303" s="23"/>
      <c r="H303" s="23"/>
      <c r="I303" s="15"/>
      <c r="J303" s="21"/>
      <c r="K303" s="9"/>
      <c r="L303" s="9"/>
      <c r="M303" s="21"/>
      <c r="N303" s="28"/>
      <c r="O303" s="21"/>
      <c r="P303" s="21"/>
      <c r="Q303" s="21"/>
      <c r="R303" s="21"/>
      <c r="S303" s="10"/>
      <c r="T303" s="9"/>
      <c r="U303" s="21"/>
      <c r="V303" s="21"/>
      <c r="W303" s="35" t="s">
        <v>2673</v>
      </c>
      <c r="X303" s="36" t="s">
        <v>2703</v>
      </c>
      <c r="Y303" s="11" t="s">
        <v>2704</v>
      </c>
    </row>
    <row r="304" spans="1:25" x14ac:dyDescent="0.3">
      <c r="A304" s="23" t="s">
        <v>2705</v>
      </c>
      <c r="B304" s="23"/>
      <c r="C304" s="23"/>
      <c r="D304" s="16"/>
      <c r="E304" s="23"/>
      <c r="F304" s="23"/>
      <c r="G304" s="23"/>
      <c r="H304" s="23"/>
      <c r="I304" s="15"/>
      <c r="J304" s="21"/>
      <c r="K304" s="9"/>
      <c r="L304" s="9"/>
      <c r="M304" s="21"/>
      <c r="N304" s="28"/>
      <c r="O304" s="21"/>
      <c r="P304" s="21"/>
      <c r="Q304" s="21"/>
      <c r="R304" s="21"/>
      <c r="S304" s="10"/>
      <c r="T304" s="9"/>
      <c r="U304" s="21"/>
      <c r="V304" s="21"/>
      <c r="W304" s="35"/>
      <c r="X304" s="36" t="s">
        <v>2706</v>
      </c>
      <c r="Y304" s="11"/>
    </row>
    <row r="305" spans="1:25" x14ac:dyDescent="0.3">
      <c r="A305" s="23" t="s">
        <v>2705</v>
      </c>
      <c r="B305" s="23"/>
      <c r="C305" s="23"/>
      <c r="D305" s="16"/>
      <c r="E305" s="23"/>
      <c r="F305" s="23"/>
      <c r="G305" s="23"/>
      <c r="H305" s="23"/>
      <c r="I305" s="15"/>
      <c r="J305" s="21"/>
      <c r="K305" s="9"/>
      <c r="L305" s="9"/>
      <c r="M305" s="21"/>
      <c r="N305" s="28"/>
      <c r="O305" s="21"/>
      <c r="P305" s="21"/>
      <c r="Q305" s="21"/>
      <c r="R305" s="21"/>
      <c r="S305" s="10"/>
      <c r="T305" s="9"/>
      <c r="U305" s="21"/>
      <c r="V305" s="21"/>
      <c r="W305" s="35"/>
      <c r="X305" s="36" t="s">
        <v>2707</v>
      </c>
      <c r="Y305" s="11"/>
    </row>
    <row r="306" spans="1:25" x14ac:dyDescent="0.3">
      <c r="A306" s="23" t="s">
        <v>2705</v>
      </c>
      <c r="B306" s="23"/>
      <c r="C306" s="23"/>
      <c r="D306" s="16"/>
      <c r="E306" s="23"/>
      <c r="F306" s="23"/>
      <c r="G306" s="23"/>
      <c r="H306" s="23"/>
      <c r="I306" s="15"/>
      <c r="J306" s="21"/>
      <c r="K306" s="9"/>
      <c r="L306" s="9"/>
      <c r="M306" s="21"/>
      <c r="N306" s="28"/>
      <c r="O306" s="21"/>
      <c r="P306" s="21"/>
      <c r="Q306" s="21"/>
      <c r="R306" s="21"/>
      <c r="S306" s="10"/>
      <c r="T306" s="9"/>
      <c r="U306" s="21"/>
      <c r="V306" s="21"/>
      <c r="W306" s="35"/>
      <c r="X306" s="36" t="s">
        <v>2708</v>
      </c>
      <c r="Y306" s="11"/>
    </row>
    <row r="307" spans="1:25" ht="30" x14ac:dyDescent="0.3">
      <c r="A307" s="23" t="s">
        <v>2590</v>
      </c>
      <c r="B307" s="23" t="s">
        <v>2709</v>
      </c>
      <c r="C307" s="23"/>
      <c r="D307" s="16"/>
      <c r="E307" s="23"/>
      <c r="F307" s="23"/>
      <c r="G307" s="23"/>
      <c r="H307" s="23"/>
      <c r="I307" s="15"/>
      <c r="J307" s="21"/>
      <c r="K307" s="9"/>
      <c r="L307" s="9"/>
      <c r="M307" s="21"/>
      <c r="N307" s="28"/>
      <c r="O307" s="21"/>
      <c r="P307" s="21"/>
      <c r="Q307" s="21"/>
      <c r="R307" s="21"/>
      <c r="S307" s="10"/>
      <c r="T307" s="9"/>
      <c r="U307" s="21"/>
      <c r="V307" s="21"/>
      <c r="W307" s="35" t="s">
        <v>2710</v>
      </c>
      <c r="X307" s="36" t="s">
        <v>2711</v>
      </c>
      <c r="Y307" s="11" t="s">
        <v>2712</v>
      </c>
    </row>
    <row r="308" spans="1:25" ht="30" x14ac:dyDescent="0.3">
      <c r="A308" s="23" t="s">
        <v>2597</v>
      </c>
      <c r="B308" s="23" t="s">
        <v>2713</v>
      </c>
      <c r="C308" s="23"/>
      <c r="D308" s="16"/>
      <c r="E308" s="23"/>
      <c r="F308" s="23"/>
      <c r="G308" s="23"/>
      <c r="H308" s="23"/>
      <c r="I308" s="15"/>
      <c r="J308" s="21"/>
      <c r="K308" s="9"/>
      <c r="L308" s="9"/>
      <c r="M308" s="21"/>
      <c r="N308" s="28"/>
      <c r="O308" s="21"/>
      <c r="P308" s="21"/>
      <c r="Q308" s="21"/>
      <c r="R308" s="21"/>
      <c r="S308" s="10"/>
      <c r="T308" s="9"/>
      <c r="U308" s="21"/>
      <c r="V308" s="21"/>
      <c r="W308" s="35" t="s">
        <v>2599</v>
      </c>
      <c r="X308" s="36" t="s">
        <v>2714</v>
      </c>
      <c r="Y308" s="11" t="s">
        <v>2715</v>
      </c>
    </row>
    <row r="309" spans="1:25" ht="30" x14ac:dyDescent="0.3">
      <c r="A309" s="23" t="s">
        <v>2590</v>
      </c>
      <c r="B309" s="23" t="s">
        <v>2716</v>
      </c>
      <c r="C309" s="23"/>
      <c r="D309" s="16"/>
      <c r="E309" s="23"/>
      <c r="F309" s="23"/>
      <c r="G309" s="23"/>
      <c r="H309" s="23"/>
      <c r="I309" s="15"/>
      <c r="J309" s="21"/>
      <c r="K309" s="9"/>
      <c r="L309" s="9"/>
      <c r="M309" s="21"/>
      <c r="N309" s="28"/>
      <c r="O309" s="21"/>
      <c r="P309" s="21"/>
      <c r="Q309" s="21"/>
      <c r="R309" s="21"/>
      <c r="S309" s="10"/>
      <c r="T309" s="9"/>
      <c r="U309" s="21"/>
      <c r="V309" s="21"/>
      <c r="W309" s="35" t="s">
        <v>2717</v>
      </c>
      <c r="X309" s="36" t="s">
        <v>2718</v>
      </c>
      <c r="Y309" s="11" t="s">
        <v>2719</v>
      </c>
    </row>
    <row r="310" spans="1:25" ht="30" x14ac:dyDescent="0.3">
      <c r="A310" s="23" t="s">
        <v>2590</v>
      </c>
      <c r="B310" s="23"/>
      <c r="C310" s="23"/>
      <c r="D310" s="16"/>
      <c r="E310" s="23"/>
      <c r="F310" s="23"/>
      <c r="G310" s="23"/>
      <c r="H310" s="23"/>
      <c r="I310" s="15"/>
      <c r="J310" s="21"/>
      <c r="K310" s="9"/>
      <c r="L310" s="9"/>
      <c r="M310" s="21"/>
      <c r="N310" s="28"/>
      <c r="O310" s="21"/>
      <c r="P310" s="21"/>
      <c r="Q310" s="21"/>
      <c r="R310" s="21"/>
      <c r="S310" s="10"/>
      <c r="T310" s="9"/>
      <c r="U310" s="21"/>
      <c r="V310" s="21"/>
      <c r="W310" s="35" t="s">
        <v>2720</v>
      </c>
      <c r="X310" s="36" t="s">
        <v>2721</v>
      </c>
      <c r="Y310" s="11" t="s">
        <v>2722</v>
      </c>
    </row>
    <row r="311" spans="1:25" ht="30" x14ac:dyDescent="0.3">
      <c r="A311" s="23" t="s">
        <v>2590</v>
      </c>
      <c r="B311" s="23" t="s">
        <v>2723</v>
      </c>
      <c r="C311" s="23"/>
      <c r="D311" s="16"/>
      <c r="E311" s="23"/>
      <c r="F311" s="23"/>
      <c r="G311" s="23"/>
      <c r="H311" s="23"/>
      <c r="I311" s="15"/>
      <c r="J311" s="21"/>
      <c r="K311" s="9"/>
      <c r="L311" s="9"/>
      <c r="M311" s="21"/>
      <c r="N311" s="28"/>
      <c r="O311" s="21"/>
      <c r="P311" s="21"/>
      <c r="Q311" s="21"/>
      <c r="R311" s="21"/>
      <c r="S311" s="10"/>
      <c r="T311" s="9"/>
      <c r="U311" s="21"/>
      <c r="V311" s="21"/>
      <c r="W311" s="35" t="s">
        <v>2724</v>
      </c>
      <c r="X311" s="36" t="s">
        <v>2725</v>
      </c>
      <c r="Y311" s="11" t="s">
        <v>2726</v>
      </c>
    </row>
    <row r="312" spans="1:25" ht="30" x14ac:dyDescent="0.3">
      <c r="A312" s="23" t="s">
        <v>2026</v>
      </c>
      <c r="B312" s="23"/>
      <c r="C312" s="23"/>
      <c r="D312" s="16"/>
      <c r="E312" s="23"/>
      <c r="F312" s="23"/>
      <c r="G312" s="23"/>
      <c r="H312" s="23"/>
      <c r="I312" s="15"/>
      <c r="J312" s="21"/>
      <c r="K312" s="9"/>
      <c r="L312" s="9"/>
      <c r="M312" s="21"/>
      <c r="N312" s="28"/>
      <c r="O312" s="21"/>
      <c r="P312" s="21"/>
      <c r="Q312" s="21"/>
      <c r="R312" s="21"/>
      <c r="S312" s="10"/>
      <c r="T312" s="9"/>
      <c r="U312" s="21"/>
      <c r="V312" s="21"/>
      <c r="W312" s="35" t="s">
        <v>2697</v>
      </c>
      <c r="X312" s="36" t="s">
        <v>2727</v>
      </c>
      <c r="Y312" s="11" t="s">
        <v>2728</v>
      </c>
    </row>
    <row r="313" spans="1:25" ht="30" x14ac:dyDescent="0.3">
      <c r="A313" s="23" t="s">
        <v>2590</v>
      </c>
      <c r="B313" s="23" t="s">
        <v>2729</v>
      </c>
      <c r="C313" s="23"/>
      <c r="D313" s="16"/>
      <c r="E313" s="23"/>
      <c r="F313" s="23"/>
      <c r="G313" s="23"/>
      <c r="H313" s="23"/>
      <c r="I313" s="15"/>
      <c r="J313" s="21"/>
      <c r="K313" s="9"/>
      <c r="L313" s="9"/>
      <c r="M313" s="21"/>
      <c r="N313" s="28"/>
      <c r="O313" s="21"/>
      <c r="P313" s="21"/>
      <c r="Q313" s="21"/>
      <c r="R313" s="21"/>
      <c r="S313" s="10"/>
      <c r="T313" s="9"/>
      <c r="U313" s="21"/>
      <c r="V313" s="21"/>
      <c r="W313" s="35" t="s">
        <v>2592</v>
      </c>
      <c r="X313" s="36" t="s">
        <v>2730</v>
      </c>
      <c r="Y313" s="11" t="s">
        <v>2731</v>
      </c>
    </row>
    <row r="314" spans="1:25" ht="30" x14ac:dyDescent="0.3">
      <c r="A314" s="23" t="s">
        <v>2590</v>
      </c>
      <c r="B314" s="23" t="s">
        <v>2729</v>
      </c>
      <c r="C314" s="23"/>
      <c r="D314" s="16"/>
      <c r="E314" s="23"/>
      <c r="F314" s="23"/>
      <c r="G314" s="23"/>
      <c r="H314" s="23"/>
      <c r="I314" s="15"/>
      <c r="J314" s="21"/>
      <c r="K314" s="9"/>
      <c r="L314" s="9"/>
      <c r="M314" s="21"/>
      <c r="N314" s="28"/>
      <c r="O314" s="21"/>
      <c r="P314" s="21"/>
      <c r="Q314" s="21"/>
      <c r="R314" s="21"/>
      <c r="S314" s="10"/>
      <c r="T314" s="9"/>
      <c r="U314" s="21"/>
      <c r="V314" s="21"/>
      <c r="W314" s="35" t="s">
        <v>2673</v>
      </c>
      <c r="X314" s="36" t="s">
        <v>2732</v>
      </c>
      <c r="Y314" s="11" t="s">
        <v>2733</v>
      </c>
    </row>
    <row r="315" spans="1:25" ht="30" x14ac:dyDescent="0.3">
      <c r="A315" s="23" t="s">
        <v>2691</v>
      </c>
      <c r="B315" s="23"/>
      <c r="C315" s="23"/>
      <c r="D315" s="16"/>
      <c r="E315" s="23"/>
      <c r="F315" s="23"/>
      <c r="G315" s="23"/>
      <c r="H315" s="23"/>
      <c r="I315" s="15"/>
      <c r="J315" s="21"/>
      <c r="K315" s="9"/>
      <c r="L315" s="9"/>
      <c r="M315" s="21"/>
      <c r="N315" s="28"/>
      <c r="O315" s="21"/>
      <c r="P315" s="21"/>
      <c r="Q315" s="21"/>
      <c r="R315" s="21"/>
      <c r="S315" s="10"/>
      <c r="T315" s="9"/>
      <c r="U315" s="21"/>
      <c r="V315" s="21"/>
      <c r="W315" s="37">
        <v>2811</v>
      </c>
      <c r="X315" s="36" t="s">
        <v>2734</v>
      </c>
      <c r="Y315" s="11" t="s">
        <v>2735</v>
      </c>
    </row>
    <row r="316" spans="1:25" ht="30" x14ac:dyDescent="0.3">
      <c r="A316" s="23" t="s">
        <v>2691</v>
      </c>
      <c r="B316" s="23"/>
      <c r="C316" s="23"/>
      <c r="D316" s="16"/>
      <c r="E316" s="23"/>
      <c r="F316" s="23"/>
      <c r="G316" s="23"/>
      <c r="H316" s="23"/>
      <c r="I316" s="15"/>
      <c r="J316" s="21"/>
      <c r="K316" s="9"/>
      <c r="L316" s="9"/>
      <c r="M316" s="21"/>
      <c r="N316" s="28"/>
      <c r="O316" s="21"/>
      <c r="P316" s="21"/>
      <c r="Q316" s="21"/>
      <c r="R316" s="21"/>
      <c r="S316" s="10"/>
      <c r="T316" s="9"/>
      <c r="U316" s="21"/>
      <c r="V316" s="21"/>
      <c r="W316" s="37">
        <v>2811</v>
      </c>
      <c r="X316" s="36" t="s">
        <v>2736</v>
      </c>
      <c r="Y316" s="11" t="s">
        <v>2737</v>
      </c>
    </row>
    <row r="317" spans="1:25" ht="30" x14ac:dyDescent="0.3">
      <c r="A317" s="23" t="s">
        <v>2691</v>
      </c>
      <c r="B317" s="23"/>
      <c r="C317" s="23"/>
      <c r="D317" s="16"/>
      <c r="E317" s="23"/>
      <c r="F317" s="23"/>
      <c r="G317" s="23"/>
      <c r="H317" s="23"/>
      <c r="I317" s="15"/>
      <c r="J317" s="21"/>
      <c r="K317" s="9"/>
      <c r="L317" s="9"/>
      <c r="M317" s="21"/>
      <c r="N317" s="28"/>
      <c r="O317" s="21"/>
      <c r="P317" s="21"/>
      <c r="Q317" s="21"/>
      <c r="R317" s="21"/>
      <c r="S317" s="10"/>
      <c r="T317" s="9"/>
      <c r="U317" s="21"/>
      <c r="V317" s="21"/>
      <c r="W317" s="37">
        <v>2811</v>
      </c>
      <c r="X317" s="36" t="s">
        <v>2738</v>
      </c>
      <c r="Y317" s="11" t="s">
        <v>2739</v>
      </c>
    </row>
    <row r="318" spans="1:25" ht="30" x14ac:dyDescent="0.3">
      <c r="A318" s="23" t="s">
        <v>2590</v>
      </c>
      <c r="B318" s="23" t="s">
        <v>2740</v>
      </c>
      <c r="C318" s="23"/>
      <c r="D318" s="16"/>
      <c r="E318" s="23"/>
      <c r="F318" s="23"/>
      <c r="G318" s="23"/>
      <c r="H318" s="23"/>
      <c r="I318" s="15"/>
      <c r="J318" s="21"/>
      <c r="K318" s="9"/>
      <c r="L318" s="9"/>
      <c r="M318" s="21"/>
      <c r="N318" s="28"/>
      <c r="O318" s="21"/>
      <c r="P318" s="21"/>
      <c r="Q318" s="21"/>
      <c r="R318" s="21"/>
      <c r="S318" s="10"/>
      <c r="T318" s="9"/>
      <c r="U318" s="21"/>
      <c r="V318" s="21"/>
      <c r="W318" s="35" t="s">
        <v>2710</v>
      </c>
      <c r="X318" s="36" t="s">
        <v>2741</v>
      </c>
      <c r="Y318" s="11" t="s">
        <v>2742</v>
      </c>
    </row>
    <row r="319" spans="1:25" ht="30" x14ac:dyDescent="0.3">
      <c r="A319" s="23" t="s">
        <v>2597</v>
      </c>
      <c r="B319" s="23" t="s">
        <v>2743</v>
      </c>
      <c r="C319" s="23"/>
      <c r="D319" s="16"/>
      <c r="E319" s="23"/>
      <c r="F319" s="23"/>
      <c r="G319" s="23"/>
      <c r="H319" s="23"/>
      <c r="I319" s="15"/>
      <c r="J319" s="21"/>
      <c r="K319" s="9"/>
      <c r="L319" s="9"/>
      <c r="M319" s="21"/>
      <c r="N319" s="28"/>
      <c r="O319" s="21"/>
      <c r="P319" s="21"/>
      <c r="Q319" s="21"/>
      <c r="R319" s="21"/>
      <c r="S319" s="10"/>
      <c r="T319" s="9"/>
      <c r="U319" s="21"/>
      <c r="V319" s="21"/>
      <c r="W319" s="35" t="s">
        <v>2599</v>
      </c>
      <c r="X319" s="36" t="s">
        <v>2744</v>
      </c>
      <c r="Y319" s="11" t="s">
        <v>2745</v>
      </c>
    </row>
    <row r="320" spans="1:25" ht="30" x14ac:dyDescent="0.3">
      <c r="A320" s="23" t="s">
        <v>2590</v>
      </c>
      <c r="B320" s="23" t="s">
        <v>2746</v>
      </c>
      <c r="C320" s="23"/>
      <c r="D320" s="16"/>
      <c r="E320" s="23"/>
      <c r="F320" s="23"/>
      <c r="G320" s="23"/>
      <c r="H320" s="23"/>
      <c r="I320" s="15"/>
      <c r="J320" s="21"/>
      <c r="K320" s="9"/>
      <c r="L320" s="9"/>
      <c r="M320" s="21"/>
      <c r="N320" s="28"/>
      <c r="O320" s="21"/>
      <c r="P320" s="21"/>
      <c r="Q320" s="21"/>
      <c r="R320" s="21"/>
      <c r="S320" s="10"/>
      <c r="T320" s="9"/>
      <c r="U320" s="21"/>
      <c r="V320" s="21"/>
      <c r="W320" s="35" t="s">
        <v>2717</v>
      </c>
      <c r="X320" s="36" t="s">
        <v>2747</v>
      </c>
      <c r="Y320" s="11" t="s">
        <v>2748</v>
      </c>
    </row>
    <row r="321" spans="1:25" ht="30" x14ac:dyDescent="0.3">
      <c r="A321" s="23" t="s">
        <v>2590</v>
      </c>
      <c r="B321" s="23"/>
      <c r="C321" s="23"/>
      <c r="D321" s="16"/>
      <c r="E321" s="23"/>
      <c r="F321" s="23"/>
      <c r="G321" s="23"/>
      <c r="H321" s="23"/>
      <c r="I321" s="15"/>
      <c r="J321" s="21"/>
      <c r="K321" s="9"/>
      <c r="L321" s="9"/>
      <c r="M321" s="21"/>
      <c r="N321" s="28"/>
      <c r="O321" s="21"/>
      <c r="P321" s="21"/>
      <c r="Q321" s="21"/>
      <c r="R321" s="21"/>
      <c r="S321" s="10"/>
      <c r="T321" s="9"/>
      <c r="U321" s="21"/>
      <c r="V321" s="21"/>
      <c r="W321" s="35" t="s">
        <v>2720</v>
      </c>
      <c r="X321" s="36" t="s">
        <v>2749</v>
      </c>
      <c r="Y321" s="11" t="s">
        <v>2750</v>
      </c>
    </row>
    <row r="322" spans="1:25" ht="30" x14ac:dyDescent="0.3">
      <c r="A322" s="23" t="s">
        <v>2590</v>
      </c>
      <c r="B322" s="23" t="s">
        <v>2751</v>
      </c>
      <c r="C322" s="23"/>
      <c r="D322" s="16"/>
      <c r="E322" s="23"/>
      <c r="F322" s="23"/>
      <c r="G322" s="23"/>
      <c r="H322" s="23"/>
      <c r="I322" s="15"/>
      <c r="J322" s="21"/>
      <c r="K322" s="9"/>
      <c r="L322" s="9"/>
      <c r="M322" s="21"/>
      <c r="N322" s="28"/>
      <c r="O322" s="21"/>
      <c r="P322" s="21"/>
      <c r="Q322" s="21"/>
      <c r="R322" s="21"/>
      <c r="S322" s="10"/>
      <c r="T322" s="9"/>
      <c r="U322" s="21"/>
      <c r="V322" s="21"/>
      <c r="W322" s="35" t="s">
        <v>2724</v>
      </c>
      <c r="X322" s="36" t="s">
        <v>2752</v>
      </c>
      <c r="Y322" s="11" t="s">
        <v>2753</v>
      </c>
    </row>
    <row r="323" spans="1:25" ht="30" x14ac:dyDescent="0.3">
      <c r="A323" s="23" t="s">
        <v>2754</v>
      </c>
      <c r="B323" s="23"/>
      <c r="C323" s="23"/>
      <c r="D323" s="16"/>
      <c r="E323" s="23"/>
      <c r="F323" s="23"/>
      <c r="G323" s="23"/>
      <c r="H323" s="23"/>
      <c r="I323" s="15"/>
      <c r="J323" s="21"/>
      <c r="K323" s="9"/>
      <c r="L323" s="9"/>
      <c r="M323" s="21"/>
      <c r="N323" s="28"/>
      <c r="O323" s="21"/>
      <c r="P323" s="21"/>
      <c r="Q323" s="21"/>
      <c r="R323" s="21"/>
      <c r="S323" s="10"/>
      <c r="T323" s="9"/>
      <c r="U323" s="21"/>
      <c r="V323" s="21"/>
      <c r="W323" s="35"/>
      <c r="X323" s="36"/>
      <c r="Y323" s="11" t="s">
        <v>2755</v>
      </c>
    </row>
    <row r="324" spans="1:25" ht="30" x14ac:dyDescent="0.3">
      <c r="A324" s="23" t="s">
        <v>2756</v>
      </c>
      <c r="B324" s="23"/>
      <c r="C324" s="23"/>
      <c r="D324" s="16"/>
      <c r="E324" s="23"/>
      <c r="F324" s="23"/>
      <c r="G324" s="23"/>
      <c r="H324" s="23"/>
      <c r="I324" s="15"/>
      <c r="J324" s="21"/>
      <c r="K324" s="9"/>
      <c r="L324" s="9"/>
      <c r="M324" s="21"/>
      <c r="N324" s="28"/>
      <c r="O324" s="21"/>
      <c r="P324" s="21"/>
      <c r="Q324" s="21"/>
      <c r="R324" s="21"/>
      <c r="S324" s="10"/>
      <c r="T324" s="9"/>
      <c r="U324" s="21"/>
      <c r="V324" s="21"/>
      <c r="W324" s="35"/>
      <c r="X324" s="36"/>
      <c r="Y324" s="11" t="s">
        <v>2757</v>
      </c>
    </row>
    <row r="325" spans="1:25" x14ac:dyDescent="0.3">
      <c r="A325" s="23" t="s">
        <v>2758</v>
      </c>
      <c r="B325" s="23"/>
      <c r="C325" s="23"/>
      <c r="D325" s="16"/>
      <c r="E325" s="23"/>
      <c r="F325" s="23"/>
      <c r="G325" s="23"/>
      <c r="H325" s="23"/>
      <c r="I325" s="15"/>
      <c r="J325" s="21"/>
      <c r="K325" s="9"/>
      <c r="L325" s="9"/>
      <c r="M325" s="21"/>
      <c r="N325" s="28"/>
      <c r="O325" s="21"/>
      <c r="P325" s="21"/>
      <c r="Q325" s="21"/>
      <c r="R325" s="21"/>
      <c r="S325" s="10"/>
      <c r="T325" s="9"/>
      <c r="U325" s="21"/>
      <c r="V325" s="21"/>
      <c r="W325" s="35"/>
      <c r="X325" s="36"/>
      <c r="Y325" s="11"/>
    </row>
    <row r="326" spans="1:25" x14ac:dyDescent="0.3">
      <c r="A326" s="23" t="s">
        <v>2759</v>
      </c>
      <c r="B326" s="23"/>
      <c r="C326" s="23"/>
      <c r="D326" s="16"/>
      <c r="E326" s="23"/>
      <c r="F326" s="23"/>
      <c r="G326" s="23"/>
      <c r="H326" s="23"/>
      <c r="I326" s="15"/>
      <c r="J326" s="21"/>
      <c r="K326" s="9"/>
      <c r="L326" s="9"/>
      <c r="M326" s="21"/>
      <c r="N326" s="28"/>
      <c r="O326" s="21"/>
      <c r="P326" s="21"/>
      <c r="Q326" s="21"/>
      <c r="R326" s="21"/>
      <c r="S326" s="10"/>
      <c r="T326" s="9"/>
      <c r="U326" s="21"/>
      <c r="V326" s="21"/>
      <c r="W326" s="35"/>
      <c r="X326" s="36"/>
      <c r="Y326" s="11"/>
    </row>
    <row r="327" spans="1:25" ht="30" x14ac:dyDescent="0.3">
      <c r="A327" s="23" t="s">
        <v>2760</v>
      </c>
      <c r="B327" s="23"/>
      <c r="C327" s="23"/>
      <c r="D327" s="16"/>
      <c r="E327" s="23"/>
      <c r="F327" s="23"/>
      <c r="G327" s="23"/>
      <c r="H327" s="23"/>
      <c r="I327" s="15"/>
      <c r="J327" s="21"/>
      <c r="K327" s="9"/>
      <c r="L327" s="9"/>
      <c r="M327" s="21"/>
      <c r="N327" s="28"/>
      <c r="O327" s="21"/>
      <c r="P327" s="21"/>
      <c r="Q327" s="21"/>
      <c r="R327" s="21"/>
      <c r="S327" s="10"/>
      <c r="T327" s="9"/>
      <c r="U327" s="21"/>
      <c r="V327" s="21"/>
      <c r="W327" s="35"/>
      <c r="X327" s="36"/>
      <c r="Y327" s="11" t="s">
        <v>2761</v>
      </c>
    </row>
    <row r="328" spans="1:25" ht="30" x14ac:dyDescent="0.3">
      <c r="A328" s="23" t="s">
        <v>2762</v>
      </c>
      <c r="B328" s="23"/>
      <c r="C328" s="23"/>
      <c r="D328" s="16"/>
      <c r="E328" s="23"/>
      <c r="F328" s="23"/>
      <c r="G328" s="23"/>
      <c r="H328" s="23"/>
      <c r="I328" s="15"/>
      <c r="J328" s="21"/>
      <c r="K328" s="9"/>
      <c r="L328" s="9"/>
      <c r="M328" s="21"/>
      <c r="N328" s="28"/>
      <c r="O328" s="21"/>
      <c r="P328" s="21"/>
      <c r="Q328" s="21"/>
      <c r="R328" s="21"/>
      <c r="S328" s="10"/>
      <c r="T328" s="9"/>
      <c r="U328" s="21"/>
      <c r="V328" s="21"/>
      <c r="W328" s="35"/>
      <c r="X328" s="36"/>
      <c r="Y328" s="11" t="s">
        <v>2763</v>
      </c>
    </row>
    <row r="329" spans="1:25" ht="30" x14ac:dyDescent="0.3">
      <c r="A329" s="23" t="s">
        <v>2764</v>
      </c>
      <c r="B329" s="23"/>
      <c r="C329" s="23"/>
      <c r="D329" s="16"/>
      <c r="E329" s="23"/>
      <c r="F329" s="23"/>
      <c r="G329" s="23"/>
      <c r="H329" s="23"/>
      <c r="I329" s="15"/>
      <c r="J329" s="21"/>
      <c r="K329" s="9"/>
      <c r="L329" s="9"/>
      <c r="M329" s="21"/>
      <c r="N329" s="28"/>
      <c r="O329" s="21"/>
      <c r="P329" s="21"/>
      <c r="Q329" s="21"/>
      <c r="R329" s="21"/>
      <c r="S329" s="10"/>
      <c r="T329" s="9"/>
      <c r="U329" s="21"/>
      <c r="V329" s="21"/>
      <c r="W329" s="35"/>
      <c r="X329" s="36"/>
      <c r="Y329" s="11" t="s">
        <v>2765</v>
      </c>
    </row>
    <row r="330" spans="1:25" ht="30" x14ac:dyDescent="0.3">
      <c r="A330" s="23" t="s">
        <v>2766</v>
      </c>
      <c r="B330" s="23"/>
      <c r="C330" s="23"/>
      <c r="D330" s="16"/>
      <c r="E330" s="23"/>
      <c r="F330" s="23"/>
      <c r="G330" s="23"/>
      <c r="H330" s="23"/>
      <c r="I330" s="15"/>
      <c r="J330" s="21"/>
      <c r="K330" s="9"/>
      <c r="L330" s="9"/>
      <c r="M330" s="21"/>
      <c r="N330" s="28"/>
      <c r="O330" s="21"/>
      <c r="P330" s="21"/>
      <c r="Q330" s="21"/>
      <c r="R330" s="21"/>
      <c r="S330" s="10"/>
      <c r="T330" s="9"/>
      <c r="U330" s="21"/>
      <c r="V330" s="21"/>
      <c r="W330" s="35"/>
      <c r="X330" s="36"/>
      <c r="Y330" s="11" t="s">
        <v>2767</v>
      </c>
    </row>
    <row r="331" spans="1:25" ht="30" x14ac:dyDescent="0.3">
      <c r="A331" s="23" t="s">
        <v>2768</v>
      </c>
      <c r="B331" s="23"/>
      <c r="C331" s="23"/>
      <c r="D331" s="16"/>
      <c r="E331" s="23"/>
      <c r="F331" s="23"/>
      <c r="G331" s="23"/>
      <c r="H331" s="23"/>
      <c r="I331" s="15"/>
      <c r="J331" s="21"/>
      <c r="K331" s="9"/>
      <c r="L331" s="9"/>
      <c r="M331" s="21"/>
      <c r="N331" s="28"/>
      <c r="O331" s="21"/>
      <c r="P331" s="21"/>
      <c r="Q331" s="21"/>
      <c r="R331" s="21"/>
      <c r="S331" s="10"/>
      <c r="T331" s="9"/>
      <c r="U331" s="21"/>
      <c r="V331" s="21"/>
      <c r="W331" s="35"/>
      <c r="X331" s="36"/>
      <c r="Y331" s="11" t="s">
        <v>2769</v>
      </c>
    </row>
    <row r="332" spans="1:25" ht="30" x14ac:dyDescent="0.3">
      <c r="A332" s="23" t="s">
        <v>2770</v>
      </c>
      <c r="B332" s="23"/>
      <c r="C332" s="23"/>
      <c r="D332" s="16"/>
      <c r="E332" s="23"/>
      <c r="F332" s="23"/>
      <c r="G332" s="23"/>
      <c r="H332" s="23"/>
      <c r="I332" s="15"/>
      <c r="J332" s="21"/>
      <c r="K332" s="9"/>
      <c r="L332" s="9"/>
      <c r="M332" s="21"/>
      <c r="N332" s="28"/>
      <c r="O332" s="21"/>
      <c r="P332" s="21"/>
      <c r="Q332" s="21"/>
      <c r="R332" s="21"/>
      <c r="S332" s="10"/>
      <c r="T332" s="9"/>
      <c r="U332" s="21"/>
      <c r="V332" s="21"/>
      <c r="W332" s="35"/>
      <c r="X332" s="36"/>
      <c r="Y332" s="11" t="s">
        <v>2771</v>
      </c>
    </row>
    <row r="333" spans="1:25" ht="30" x14ac:dyDescent="0.3">
      <c r="A333" s="23" t="s">
        <v>2772</v>
      </c>
      <c r="B333" s="23"/>
      <c r="C333" s="23"/>
      <c r="D333" s="16"/>
      <c r="E333" s="23"/>
      <c r="F333" s="23"/>
      <c r="G333" s="23"/>
      <c r="H333" s="23"/>
      <c r="I333" s="15"/>
      <c r="J333" s="21"/>
      <c r="K333" s="9"/>
      <c r="L333" s="9"/>
      <c r="M333" s="21"/>
      <c r="N333" s="28"/>
      <c r="O333" s="21"/>
      <c r="P333" s="21"/>
      <c r="Q333" s="21"/>
      <c r="R333" s="21"/>
      <c r="S333" s="10"/>
      <c r="T333" s="9"/>
      <c r="U333" s="21"/>
      <c r="V333" s="21"/>
      <c r="W333" s="35"/>
      <c r="X333" s="36"/>
      <c r="Y333" s="11" t="s">
        <v>2773</v>
      </c>
    </row>
    <row r="334" spans="1:25" ht="30" x14ac:dyDescent="0.3">
      <c r="A334" s="23" t="s">
        <v>2774</v>
      </c>
      <c r="B334" s="23"/>
      <c r="C334" s="23"/>
      <c r="D334" s="16"/>
      <c r="E334" s="23"/>
      <c r="F334" s="23"/>
      <c r="G334" s="23"/>
      <c r="H334" s="23"/>
      <c r="I334" s="15"/>
      <c r="J334" s="21"/>
      <c r="K334" s="9"/>
      <c r="L334" s="9"/>
      <c r="M334" s="21"/>
      <c r="N334" s="28"/>
      <c r="O334" s="21"/>
      <c r="P334" s="21"/>
      <c r="Q334" s="21"/>
      <c r="R334" s="21"/>
      <c r="S334" s="10"/>
      <c r="T334" s="9"/>
      <c r="U334" s="21"/>
      <c r="V334" s="21"/>
      <c r="W334" s="35"/>
      <c r="X334" s="36"/>
      <c r="Y334" s="11" t="s">
        <v>2775</v>
      </c>
    </row>
    <row r="335" spans="1:25" ht="30" x14ac:dyDescent="0.3">
      <c r="A335" s="23" t="s">
        <v>2776</v>
      </c>
      <c r="B335" s="23"/>
      <c r="C335" s="23"/>
      <c r="D335" s="16"/>
      <c r="E335" s="23"/>
      <c r="F335" s="23"/>
      <c r="G335" s="23"/>
      <c r="H335" s="23"/>
      <c r="I335" s="15"/>
      <c r="J335" s="21"/>
      <c r="K335" s="9"/>
      <c r="L335" s="9"/>
      <c r="M335" s="21"/>
      <c r="N335" s="28"/>
      <c r="O335" s="21"/>
      <c r="P335" s="21"/>
      <c r="Q335" s="21"/>
      <c r="R335" s="21"/>
      <c r="S335" s="10"/>
      <c r="T335" s="9"/>
      <c r="U335" s="21"/>
      <c r="V335" s="21"/>
      <c r="W335" s="35"/>
      <c r="X335" s="36"/>
      <c r="Y335" s="11" t="s">
        <v>2777</v>
      </c>
    </row>
    <row r="336" spans="1:25" ht="30" x14ac:dyDescent="0.3">
      <c r="A336" s="23" t="s">
        <v>2778</v>
      </c>
      <c r="B336" s="23"/>
      <c r="C336" s="23"/>
      <c r="D336" s="16"/>
      <c r="E336" s="23"/>
      <c r="F336" s="23"/>
      <c r="G336" s="23"/>
      <c r="H336" s="23"/>
      <c r="I336" s="15"/>
      <c r="J336" s="21"/>
      <c r="K336" s="9"/>
      <c r="L336" s="9"/>
      <c r="M336" s="21"/>
      <c r="N336" s="28"/>
      <c r="O336" s="21"/>
      <c r="P336" s="21"/>
      <c r="Q336" s="21"/>
      <c r="R336" s="21"/>
      <c r="S336" s="10"/>
      <c r="T336" s="9"/>
      <c r="U336" s="21"/>
      <c r="V336" s="21"/>
      <c r="W336" s="35"/>
      <c r="X336" s="36"/>
      <c r="Y336" s="11" t="s">
        <v>2779</v>
      </c>
    </row>
    <row r="337" spans="1:25" ht="30" x14ac:dyDescent="0.3">
      <c r="A337" s="23" t="s">
        <v>2780</v>
      </c>
      <c r="B337" s="23"/>
      <c r="C337" s="23"/>
      <c r="D337" s="16"/>
      <c r="E337" s="23"/>
      <c r="F337" s="23"/>
      <c r="G337" s="23"/>
      <c r="H337" s="23"/>
      <c r="I337" s="15"/>
      <c r="J337" s="21"/>
      <c r="K337" s="9"/>
      <c r="L337" s="9"/>
      <c r="M337" s="21"/>
      <c r="N337" s="28"/>
      <c r="O337" s="21"/>
      <c r="P337" s="21"/>
      <c r="Q337" s="21"/>
      <c r="R337" s="21"/>
      <c r="S337" s="10"/>
      <c r="T337" s="9"/>
      <c r="U337" s="21"/>
      <c r="V337" s="21"/>
      <c r="W337" s="35"/>
      <c r="X337" s="36"/>
      <c r="Y337" s="11" t="s">
        <v>2781</v>
      </c>
    </row>
    <row r="338" spans="1:25" ht="30" x14ac:dyDescent="0.3">
      <c r="A338" s="23" t="s">
        <v>2782</v>
      </c>
      <c r="B338" s="23"/>
      <c r="C338" s="23"/>
      <c r="D338" s="16"/>
      <c r="E338" s="23"/>
      <c r="F338" s="23"/>
      <c r="G338" s="23"/>
      <c r="H338" s="23"/>
      <c r="I338" s="15"/>
      <c r="J338" s="21"/>
      <c r="K338" s="9"/>
      <c r="L338" s="9"/>
      <c r="M338" s="21"/>
      <c r="N338" s="28"/>
      <c r="O338" s="21"/>
      <c r="P338" s="21"/>
      <c r="Q338" s="21"/>
      <c r="R338" s="21"/>
      <c r="S338" s="10"/>
      <c r="T338" s="9"/>
      <c r="U338" s="21"/>
      <c r="V338" s="21"/>
      <c r="W338" s="35"/>
      <c r="X338" s="36"/>
      <c r="Y338" s="11" t="s">
        <v>2783</v>
      </c>
    </row>
    <row r="339" spans="1:25" ht="30" x14ac:dyDescent="0.3">
      <c r="A339" s="23" t="s">
        <v>2784</v>
      </c>
      <c r="B339" s="23"/>
      <c r="C339" s="23"/>
      <c r="D339" s="16"/>
      <c r="E339" s="23"/>
      <c r="F339" s="23"/>
      <c r="G339" s="23"/>
      <c r="H339" s="23"/>
      <c r="I339" s="15"/>
      <c r="J339" s="21"/>
      <c r="K339" s="9"/>
      <c r="L339" s="9"/>
      <c r="M339" s="21"/>
      <c r="N339" s="28"/>
      <c r="O339" s="21"/>
      <c r="P339" s="21"/>
      <c r="Q339" s="21"/>
      <c r="R339" s="21"/>
      <c r="S339" s="10"/>
      <c r="T339" s="9"/>
      <c r="U339" s="21"/>
      <c r="V339" s="21"/>
      <c r="W339" s="35"/>
      <c r="X339" s="36"/>
      <c r="Y339" s="11" t="s">
        <v>2785</v>
      </c>
    </row>
    <row r="340" spans="1:25" ht="30" x14ac:dyDescent="0.3">
      <c r="A340" s="23" t="s">
        <v>2786</v>
      </c>
      <c r="B340" s="23"/>
      <c r="C340" s="23"/>
      <c r="D340" s="16"/>
      <c r="E340" s="23"/>
      <c r="F340" s="23"/>
      <c r="G340" s="23"/>
      <c r="H340" s="23"/>
      <c r="I340" s="15"/>
      <c r="J340" s="21"/>
      <c r="K340" s="9"/>
      <c r="L340" s="9"/>
      <c r="M340" s="21"/>
      <c r="N340" s="28"/>
      <c r="O340" s="21"/>
      <c r="P340" s="21"/>
      <c r="Q340" s="21"/>
      <c r="R340" s="21"/>
      <c r="S340" s="10"/>
      <c r="T340" s="9"/>
      <c r="U340" s="21"/>
      <c r="V340" s="21"/>
      <c r="W340" s="35"/>
      <c r="X340" s="36"/>
      <c r="Y340" s="11" t="s">
        <v>2787</v>
      </c>
    </row>
    <row r="341" spans="1:25" ht="30" x14ac:dyDescent="0.3">
      <c r="A341" s="23" t="s">
        <v>2788</v>
      </c>
      <c r="B341" s="23"/>
      <c r="C341" s="23"/>
      <c r="D341" s="16"/>
      <c r="E341" s="23"/>
      <c r="F341" s="23"/>
      <c r="G341" s="23"/>
      <c r="H341" s="23"/>
      <c r="I341" s="15"/>
      <c r="J341" s="21"/>
      <c r="K341" s="9"/>
      <c r="L341" s="9"/>
      <c r="M341" s="21"/>
      <c r="N341" s="28"/>
      <c r="O341" s="21"/>
      <c r="P341" s="21"/>
      <c r="Q341" s="21"/>
      <c r="R341" s="21"/>
      <c r="S341" s="10"/>
      <c r="T341" s="9"/>
      <c r="U341" s="21"/>
      <c r="V341" s="21"/>
      <c r="W341" s="35"/>
      <c r="X341" s="36"/>
      <c r="Y341" s="11" t="s">
        <v>2789</v>
      </c>
    </row>
    <row r="342" spans="1:25" ht="30" x14ac:dyDescent="0.3">
      <c r="A342" s="23" t="s">
        <v>2790</v>
      </c>
      <c r="B342" s="23"/>
      <c r="C342" s="23"/>
      <c r="D342" s="16"/>
      <c r="E342" s="23"/>
      <c r="F342" s="23"/>
      <c r="G342" s="23"/>
      <c r="H342" s="23"/>
      <c r="I342" s="15"/>
      <c r="J342" s="21"/>
      <c r="K342" s="9"/>
      <c r="L342" s="9"/>
      <c r="M342" s="21"/>
      <c r="N342" s="28"/>
      <c r="O342" s="21"/>
      <c r="P342" s="21"/>
      <c r="Q342" s="21"/>
      <c r="R342" s="21"/>
      <c r="S342" s="10"/>
      <c r="T342" s="9"/>
      <c r="U342" s="21"/>
      <c r="V342" s="21"/>
      <c r="W342" s="35"/>
      <c r="X342" s="36"/>
      <c r="Y342" s="11" t="s">
        <v>2791</v>
      </c>
    </row>
    <row r="343" spans="1:25" ht="30" x14ac:dyDescent="0.3">
      <c r="A343" s="23" t="s">
        <v>2792</v>
      </c>
      <c r="B343" s="23"/>
      <c r="C343" s="23"/>
      <c r="D343" s="16"/>
      <c r="E343" s="23"/>
      <c r="F343" s="23"/>
      <c r="G343" s="23"/>
      <c r="H343" s="23"/>
      <c r="I343" s="15"/>
      <c r="J343" s="21"/>
      <c r="K343" s="9"/>
      <c r="L343" s="9"/>
      <c r="M343" s="21"/>
      <c r="N343" s="28"/>
      <c r="O343" s="21"/>
      <c r="P343" s="21"/>
      <c r="Q343" s="21"/>
      <c r="R343" s="21"/>
      <c r="S343" s="10"/>
      <c r="T343" s="9"/>
      <c r="U343" s="21"/>
      <c r="V343" s="21"/>
      <c r="W343" s="35"/>
      <c r="X343" s="36"/>
      <c r="Y343" s="11" t="s">
        <v>2793</v>
      </c>
    </row>
    <row r="344" spans="1:25" ht="30" x14ac:dyDescent="0.3">
      <c r="A344" s="23" t="s">
        <v>2794</v>
      </c>
      <c r="B344" s="23"/>
      <c r="C344" s="23"/>
      <c r="D344" s="16"/>
      <c r="E344" s="23"/>
      <c r="F344" s="23"/>
      <c r="G344" s="23"/>
      <c r="H344" s="23"/>
      <c r="I344" s="15"/>
      <c r="J344" s="21"/>
      <c r="K344" s="9"/>
      <c r="L344" s="9"/>
      <c r="M344" s="21"/>
      <c r="N344" s="28"/>
      <c r="O344" s="21"/>
      <c r="P344" s="21"/>
      <c r="Q344" s="21"/>
      <c r="R344" s="21"/>
      <c r="S344" s="10"/>
      <c r="T344" s="9"/>
      <c r="U344" s="21"/>
      <c r="V344" s="21"/>
      <c r="W344" s="35"/>
      <c r="X344" s="36"/>
      <c r="Y344" s="11" t="s">
        <v>2795</v>
      </c>
    </row>
    <row r="345" spans="1:25" ht="30" x14ac:dyDescent="0.3">
      <c r="A345" s="16" t="s">
        <v>2026</v>
      </c>
      <c r="B345" s="16" t="s">
        <v>2796</v>
      </c>
      <c r="C345" s="16"/>
      <c r="D345" s="16" t="s">
        <v>2041</v>
      </c>
      <c r="E345" s="16">
        <v>24</v>
      </c>
      <c r="F345" s="31"/>
      <c r="G345" s="16">
        <v>16</v>
      </c>
      <c r="H345" s="16"/>
      <c r="I345" s="16"/>
      <c r="J345" s="16"/>
      <c r="K345" s="16"/>
      <c r="L345" s="16"/>
      <c r="M345" s="16" t="s">
        <v>2797</v>
      </c>
      <c r="N345" s="16"/>
      <c r="O345" s="16"/>
      <c r="P345" s="16"/>
      <c r="Q345" s="16"/>
      <c r="R345" s="16"/>
      <c r="S345" s="16"/>
      <c r="T345" s="16"/>
      <c r="U345" s="16" t="s">
        <v>2557</v>
      </c>
      <c r="V345" s="16"/>
      <c r="W345" s="15" t="s">
        <v>2798</v>
      </c>
      <c r="X345" s="16" t="s">
        <v>2799</v>
      </c>
      <c r="Y345" s="15" t="s">
        <v>2800</v>
      </c>
    </row>
    <row r="346" spans="1:25" ht="30" x14ac:dyDescent="0.3">
      <c r="A346" s="16" t="s">
        <v>2026</v>
      </c>
      <c r="B346" s="16" t="s">
        <v>2801</v>
      </c>
      <c r="C346" s="16"/>
      <c r="D346" s="16" t="s">
        <v>2041</v>
      </c>
      <c r="E346" s="16">
        <v>24</v>
      </c>
      <c r="F346" s="16"/>
      <c r="G346" s="16">
        <v>16</v>
      </c>
      <c r="H346" s="16"/>
      <c r="I346" s="16"/>
      <c r="J346" s="16"/>
      <c r="K346" s="16"/>
      <c r="L346" s="16"/>
      <c r="M346" s="16" t="s">
        <v>2797</v>
      </c>
      <c r="N346" s="16"/>
      <c r="O346" s="16"/>
      <c r="P346" s="16"/>
      <c r="Q346" s="16"/>
      <c r="R346" s="16"/>
      <c r="S346" s="16"/>
      <c r="T346" s="16"/>
      <c r="U346" s="16" t="s">
        <v>2802</v>
      </c>
      <c r="V346" s="16"/>
      <c r="W346" s="15" t="s">
        <v>2798</v>
      </c>
      <c r="X346" s="16" t="s">
        <v>2803</v>
      </c>
      <c r="Y346" s="15" t="s">
        <v>2804</v>
      </c>
    </row>
    <row r="347" spans="1:25" ht="30" x14ac:dyDescent="0.3">
      <c r="A347" s="16" t="s">
        <v>2026</v>
      </c>
      <c r="B347" s="16" t="s">
        <v>2805</v>
      </c>
      <c r="C347" s="16"/>
      <c r="D347" s="16" t="s">
        <v>2041</v>
      </c>
      <c r="E347" s="16">
        <v>24</v>
      </c>
      <c r="F347" s="16"/>
      <c r="G347" s="16">
        <v>16</v>
      </c>
      <c r="H347" s="16"/>
      <c r="I347" s="16"/>
      <c r="J347" s="16"/>
      <c r="K347" s="16"/>
      <c r="L347" s="16"/>
      <c r="M347" s="16" t="s">
        <v>2797</v>
      </c>
      <c r="N347" s="16"/>
      <c r="O347" s="16"/>
      <c r="P347" s="16"/>
      <c r="Q347" s="16"/>
      <c r="R347" s="16"/>
      <c r="S347" s="16"/>
      <c r="T347" s="16"/>
      <c r="U347" s="16" t="s">
        <v>2806</v>
      </c>
      <c r="V347" s="16" t="s">
        <v>2807</v>
      </c>
      <c r="W347" s="15" t="s">
        <v>2798</v>
      </c>
      <c r="X347" s="16" t="s">
        <v>2808</v>
      </c>
      <c r="Y347" s="15" t="s">
        <v>2809</v>
      </c>
    </row>
    <row r="348" spans="1:25" ht="30" x14ac:dyDescent="0.3">
      <c r="A348" s="16" t="s">
        <v>2026</v>
      </c>
      <c r="B348" s="16" t="s">
        <v>2810</v>
      </c>
      <c r="C348" s="16"/>
      <c r="D348" s="16" t="s">
        <v>2041</v>
      </c>
      <c r="E348" s="16">
        <v>24</v>
      </c>
      <c r="F348" s="16"/>
      <c r="G348" s="16">
        <v>16</v>
      </c>
      <c r="H348" s="16"/>
      <c r="I348" s="16"/>
      <c r="J348" s="16"/>
      <c r="K348" s="16"/>
      <c r="L348" s="16"/>
      <c r="M348" s="16" t="s">
        <v>2797</v>
      </c>
      <c r="N348" s="16"/>
      <c r="O348" s="16"/>
      <c r="P348" s="16"/>
      <c r="Q348" s="16"/>
      <c r="R348" s="16"/>
      <c r="S348" s="16"/>
      <c r="T348" s="16"/>
      <c r="U348" s="16" t="s">
        <v>2811</v>
      </c>
      <c r="V348" s="16" t="s">
        <v>2812</v>
      </c>
      <c r="W348" s="15" t="s">
        <v>2798</v>
      </c>
      <c r="X348" s="16" t="s">
        <v>2813</v>
      </c>
      <c r="Y348" s="15" t="s">
        <v>2814</v>
      </c>
    </row>
    <row r="349" spans="1:25" x14ac:dyDescent="0.3">
      <c r="A349" s="23"/>
      <c r="B349" s="23"/>
      <c r="C349" s="23"/>
      <c r="D349" s="16"/>
      <c r="E349" s="23"/>
      <c r="F349" s="23"/>
      <c r="G349" s="23"/>
      <c r="H349" s="23"/>
      <c r="I349" s="16"/>
      <c r="J349" s="16"/>
      <c r="K349" s="16"/>
      <c r="L349" s="16"/>
      <c r="M349" s="16"/>
      <c r="N349" s="23"/>
      <c r="O349" s="16"/>
      <c r="P349" s="16"/>
      <c r="Q349" s="16"/>
      <c r="R349" s="16"/>
      <c r="S349" s="16"/>
      <c r="T349" s="16"/>
      <c r="U349" s="16"/>
      <c r="V349" s="16"/>
      <c r="W349" s="15"/>
      <c r="X349" s="23"/>
      <c r="Y349" s="33"/>
    </row>
    <row r="350" spans="1:25" x14ac:dyDescent="0.3">
      <c r="A350" s="23"/>
      <c r="B350" s="23"/>
      <c r="C350" s="23"/>
      <c r="D350" s="16"/>
      <c r="E350" s="23"/>
      <c r="F350" s="23"/>
      <c r="G350" s="23"/>
      <c r="H350" s="23"/>
      <c r="I350" s="16"/>
      <c r="J350" s="16"/>
      <c r="K350" s="16"/>
      <c r="L350" s="16"/>
      <c r="M350" s="16"/>
      <c r="N350" s="23"/>
      <c r="O350" s="16"/>
      <c r="P350" s="16"/>
      <c r="Q350" s="16"/>
      <c r="R350" s="16"/>
      <c r="S350" s="16"/>
      <c r="T350" s="16"/>
      <c r="U350" s="16"/>
      <c r="V350" s="16"/>
      <c r="W350" s="15"/>
      <c r="X350" s="23"/>
      <c r="Y350" s="33"/>
    </row>
    <row r="351" spans="1:25" x14ac:dyDescent="0.3">
      <c r="A351" s="23"/>
      <c r="B351" s="23"/>
      <c r="C351" s="23"/>
      <c r="D351" s="16"/>
      <c r="E351" s="23"/>
      <c r="F351" s="23"/>
      <c r="G351" s="23"/>
      <c r="H351" s="23"/>
      <c r="I351" s="15"/>
      <c r="J351" s="21"/>
      <c r="K351" s="9"/>
      <c r="L351" s="9"/>
      <c r="M351" s="21"/>
      <c r="N351" s="28"/>
      <c r="O351" s="21"/>
      <c r="P351" s="21"/>
      <c r="Q351" s="21"/>
      <c r="R351" s="21"/>
      <c r="S351" s="10"/>
      <c r="T351" s="9"/>
      <c r="U351" s="21"/>
      <c r="V351" s="21"/>
      <c r="W351" s="21"/>
      <c r="X351" s="28"/>
      <c r="Y351" s="33"/>
    </row>
    <row r="352" spans="1:25" x14ac:dyDescent="0.3">
      <c r="A352" s="16"/>
      <c r="B352" s="16"/>
      <c r="C352" s="16"/>
      <c r="D352" s="16"/>
      <c r="E352" s="16"/>
      <c r="F352" s="16"/>
      <c r="G352" s="16"/>
      <c r="H352" s="16"/>
      <c r="I352" s="15"/>
      <c r="J352" s="21"/>
      <c r="K352" s="9"/>
      <c r="L352" s="9"/>
      <c r="M352" s="21"/>
      <c r="N352" s="21"/>
      <c r="O352" s="21"/>
      <c r="P352" s="21"/>
      <c r="Q352" s="21"/>
      <c r="R352" s="21"/>
      <c r="S352" s="10"/>
      <c r="T352" s="9"/>
      <c r="U352" s="21"/>
      <c r="V352" s="21"/>
      <c r="W352" s="21"/>
      <c r="X352" s="21"/>
      <c r="Y352" s="15"/>
    </row>
    <row r="353" spans="1:25" x14ac:dyDescent="0.3">
      <c r="A353" s="186" t="s">
        <v>2815</v>
      </c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8"/>
    </row>
    <row r="354" spans="1:25" x14ac:dyDescent="0.3">
      <c r="A354" s="170" t="s">
        <v>2026</v>
      </c>
      <c r="B354" s="170" t="s">
        <v>2816</v>
      </c>
      <c r="C354" s="170" t="s">
        <v>2817</v>
      </c>
      <c r="D354" s="20" t="s">
        <v>2041</v>
      </c>
      <c r="E354" s="20"/>
      <c r="F354" s="20"/>
      <c r="G354" s="20"/>
      <c r="H354" s="20"/>
      <c r="I354" s="15"/>
      <c r="J354" s="21"/>
      <c r="K354" s="9" t="s">
        <v>2030</v>
      </c>
      <c r="L354" s="9"/>
      <c r="M354" s="21" t="s">
        <v>1526</v>
      </c>
      <c r="N354" s="170" t="s">
        <v>2818</v>
      </c>
      <c r="O354" s="21"/>
      <c r="P354" s="21"/>
      <c r="Q354" s="21"/>
      <c r="R354" s="21"/>
      <c r="S354" s="10"/>
      <c r="T354" s="9"/>
      <c r="U354" s="21" t="s">
        <v>2819</v>
      </c>
      <c r="V354" s="21"/>
      <c r="W354" s="21"/>
      <c r="X354" s="173"/>
      <c r="Y354" s="192"/>
    </row>
    <row r="355" spans="1:25" ht="30" x14ac:dyDescent="0.3">
      <c r="A355" s="171"/>
      <c r="B355" s="171"/>
      <c r="C355" s="171"/>
      <c r="D355" s="16" t="s">
        <v>2036</v>
      </c>
      <c r="E355" s="25"/>
      <c r="F355" s="25"/>
      <c r="G355" s="25"/>
      <c r="H355" s="25"/>
      <c r="I355" s="30" t="s">
        <v>2820</v>
      </c>
      <c r="J355" s="21"/>
      <c r="K355" s="9" t="s">
        <v>2287</v>
      </c>
      <c r="L355" s="9"/>
      <c r="M355" s="21"/>
      <c r="N355" s="171"/>
      <c r="O355" s="21"/>
      <c r="P355" s="15">
        <v>2</v>
      </c>
      <c r="Q355" s="15">
        <v>16</v>
      </c>
      <c r="R355" s="39">
        <v>140</v>
      </c>
      <c r="S355" s="10"/>
      <c r="T355" s="9"/>
      <c r="U355" s="21"/>
      <c r="V355" s="21" t="s">
        <v>2821</v>
      </c>
      <c r="W355" s="21"/>
      <c r="X355" s="174"/>
      <c r="Y355" s="193"/>
    </row>
    <row r="356" spans="1:25" ht="30" x14ac:dyDescent="0.3">
      <c r="A356" s="171"/>
      <c r="B356" s="171"/>
      <c r="C356" s="171"/>
      <c r="D356" s="16" t="s">
        <v>2036</v>
      </c>
      <c r="E356" s="25"/>
      <c r="F356" s="25"/>
      <c r="G356" s="25"/>
      <c r="H356" s="25"/>
      <c r="I356" s="30" t="s">
        <v>2822</v>
      </c>
      <c r="J356" s="21"/>
      <c r="K356" s="9" t="s">
        <v>2287</v>
      </c>
      <c r="L356" s="9"/>
      <c r="M356" s="21"/>
      <c r="N356" s="171"/>
      <c r="O356" s="21"/>
      <c r="P356" s="15">
        <v>2</v>
      </c>
      <c r="Q356" s="15">
        <v>16</v>
      </c>
      <c r="R356" s="39">
        <v>140</v>
      </c>
      <c r="S356" s="10"/>
      <c r="T356" s="9"/>
      <c r="U356" s="21"/>
      <c r="V356" s="21" t="s">
        <v>2823</v>
      </c>
      <c r="W356" s="21"/>
      <c r="X356" s="174"/>
      <c r="Y356" s="193"/>
    </row>
    <row r="357" spans="1:25" ht="75" x14ac:dyDescent="0.3">
      <c r="A357" s="171"/>
      <c r="B357" s="171"/>
      <c r="C357" s="171"/>
      <c r="D357" s="16" t="s">
        <v>2036</v>
      </c>
      <c r="E357" s="25">
        <v>24</v>
      </c>
      <c r="F357" s="31">
        <f>SUM(P355:P360)/E357</f>
        <v>0.54166666666666663</v>
      </c>
      <c r="G357" s="25">
        <v>96</v>
      </c>
      <c r="H357" s="31">
        <f>SUM(Q355:Q360)/G357</f>
        <v>0.64716666666666667</v>
      </c>
      <c r="I357" s="15" t="s">
        <v>2037</v>
      </c>
      <c r="J357" s="21"/>
      <c r="K357" s="9" t="s">
        <v>2030</v>
      </c>
      <c r="L357" s="9"/>
      <c r="M357" s="21"/>
      <c r="N357" s="171"/>
      <c r="O357" s="21"/>
      <c r="P357" s="15">
        <v>1</v>
      </c>
      <c r="Q357" s="15">
        <v>0.128</v>
      </c>
      <c r="R357" s="15">
        <v>8</v>
      </c>
      <c r="S357" s="10"/>
      <c r="T357" s="9"/>
      <c r="U357" s="21" t="s">
        <v>2824</v>
      </c>
      <c r="V357" s="21"/>
      <c r="W357" s="21"/>
      <c r="X357" s="174"/>
      <c r="Y357" s="193"/>
    </row>
    <row r="358" spans="1:25" x14ac:dyDescent="0.3">
      <c r="A358" s="171"/>
      <c r="B358" s="171"/>
      <c r="C358" s="171"/>
      <c r="D358" s="16" t="s">
        <v>2036</v>
      </c>
      <c r="E358" s="25"/>
      <c r="F358" s="31"/>
      <c r="G358" s="25"/>
      <c r="H358" s="31"/>
      <c r="I358" s="15" t="s">
        <v>2825</v>
      </c>
      <c r="J358" s="21"/>
      <c r="K358" s="9"/>
      <c r="L358" s="9"/>
      <c r="M358" s="21"/>
      <c r="N358" s="171"/>
      <c r="O358" s="21"/>
      <c r="P358" s="15">
        <v>4</v>
      </c>
      <c r="Q358" s="15">
        <v>12</v>
      </c>
      <c r="R358" s="15">
        <v>70</v>
      </c>
      <c r="S358" s="10"/>
      <c r="T358" s="9"/>
      <c r="U358" s="21"/>
      <c r="V358" s="21"/>
      <c r="W358" s="21"/>
      <c r="X358" s="174"/>
      <c r="Y358" s="193"/>
    </row>
    <row r="359" spans="1:25" x14ac:dyDescent="0.3">
      <c r="A359" s="171"/>
      <c r="B359" s="171"/>
      <c r="C359" s="171"/>
      <c r="D359" s="16" t="s">
        <v>2036</v>
      </c>
      <c r="E359" s="25"/>
      <c r="F359" s="25"/>
      <c r="G359" s="25"/>
      <c r="H359" s="25"/>
      <c r="I359" s="30" t="s">
        <v>2826</v>
      </c>
      <c r="J359" s="21"/>
      <c r="K359" s="9" t="s">
        <v>2030</v>
      </c>
      <c r="L359" s="9"/>
      <c r="M359" s="21"/>
      <c r="N359" s="171"/>
      <c r="O359" s="21"/>
      <c r="P359" s="15">
        <v>2</v>
      </c>
      <c r="Q359" s="15">
        <v>2</v>
      </c>
      <c r="R359" s="15">
        <v>40</v>
      </c>
      <c r="S359" s="10"/>
      <c r="T359" s="9"/>
      <c r="U359" s="21"/>
      <c r="V359" s="21" t="s">
        <v>2827</v>
      </c>
      <c r="W359" s="21"/>
      <c r="X359" s="174"/>
      <c r="Y359" s="193"/>
    </row>
    <row r="360" spans="1:25" x14ac:dyDescent="0.3">
      <c r="A360" s="171"/>
      <c r="B360" s="172"/>
      <c r="C360" s="171"/>
      <c r="D360" s="16" t="s">
        <v>2036</v>
      </c>
      <c r="E360" s="23"/>
      <c r="F360" s="23"/>
      <c r="G360" s="23"/>
      <c r="H360" s="23"/>
      <c r="I360" s="30" t="s">
        <v>2828</v>
      </c>
      <c r="J360" s="21"/>
      <c r="K360" s="9" t="s">
        <v>2829</v>
      </c>
      <c r="L360" s="9"/>
      <c r="M360" s="21"/>
      <c r="N360" s="171"/>
      <c r="O360" s="21"/>
      <c r="P360" s="15">
        <v>2</v>
      </c>
      <c r="Q360" s="15">
        <v>16</v>
      </c>
      <c r="R360" s="15">
        <v>80</v>
      </c>
      <c r="S360" s="10"/>
      <c r="T360" s="9"/>
      <c r="U360" s="21"/>
      <c r="V360" s="21" t="s">
        <v>2830</v>
      </c>
      <c r="W360" s="21"/>
      <c r="X360" s="175"/>
      <c r="Y360" s="194"/>
    </row>
    <row r="361" spans="1:25" x14ac:dyDescent="0.3">
      <c r="A361" s="171"/>
      <c r="B361" s="170" t="s">
        <v>2831</v>
      </c>
      <c r="C361" s="171"/>
      <c r="D361" s="20" t="s">
        <v>2041</v>
      </c>
      <c r="E361" s="20"/>
      <c r="F361" s="20"/>
      <c r="G361" s="20"/>
      <c r="H361" s="20"/>
      <c r="I361" s="15"/>
      <c r="J361" s="21"/>
      <c r="K361" s="9" t="s">
        <v>2030</v>
      </c>
      <c r="L361" s="9"/>
      <c r="M361" s="21" t="s">
        <v>1526</v>
      </c>
      <c r="N361" s="171"/>
      <c r="O361" s="21"/>
      <c r="P361" s="15"/>
      <c r="Q361" s="15"/>
      <c r="R361" s="15"/>
      <c r="S361" s="10"/>
      <c r="T361" s="9"/>
      <c r="U361" s="21" t="s">
        <v>2832</v>
      </c>
      <c r="V361" s="21"/>
      <c r="W361" s="21"/>
      <c r="X361" s="173"/>
      <c r="Y361" s="192"/>
    </row>
    <row r="362" spans="1:25" ht="30" x14ac:dyDescent="0.3">
      <c r="A362" s="171"/>
      <c r="B362" s="171"/>
      <c r="C362" s="171"/>
      <c r="D362" s="16" t="s">
        <v>2036</v>
      </c>
      <c r="E362" s="25"/>
      <c r="F362" s="25"/>
      <c r="G362" s="25"/>
      <c r="H362" s="25"/>
      <c r="I362" s="30" t="s">
        <v>2833</v>
      </c>
      <c r="J362" s="21"/>
      <c r="K362" s="9" t="s">
        <v>2287</v>
      </c>
      <c r="L362" s="9"/>
      <c r="M362" s="21"/>
      <c r="N362" s="171"/>
      <c r="O362" s="21"/>
      <c r="P362" s="15">
        <v>2</v>
      </c>
      <c r="Q362" s="15">
        <v>16</v>
      </c>
      <c r="R362" s="39">
        <v>140</v>
      </c>
      <c r="S362" s="10"/>
      <c r="T362" s="9"/>
      <c r="U362" s="21"/>
      <c r="V362" s="21" t="s">
        <v>2834</v>
      </c>
      <c r="W362" s="21"/>
      <c r="X362" s="174"/>
      <c r="Y362" s="193"/>
    </row>
    <row r="363" spans="1:25" x14ac:dyDescent="0.3">
      <c r="A363" s="171"/>
      <c r="B363" s="171"/>
      <c r="C363" s="171"/>
      <c r="D363" s="16" t="s">
        <v>2036</v>
      </c>
      <c r="E363" s="25"/>
      <c r="F363" s="25"/>
      <c r="G363" s="25"/>
      <c r="H363" s="25"/>
      <c r="I363" s="30" t="s">
        <v>2835</v>
      </c>
      <c r="J363" s="21"/>
      <c r="K363" s="9" t="s">
        <v>2829</v>
      </c>
      <c r="L363" s="9"/>
      <c r="M363" s="21"/>
      <c r="N363" s="171"/>
      <c r="O363" s="21"/>
      <c r="P363" s="15">
        <v>8</v>
      </c>
      <c r="Q363" s="15">
        <v>8</v>
      </c>
      <c r="R363" s="39">
        <v>130</v>
      </c>
      <c r="S363" s="10"/>
      <c r="T363" s="9"/>
      <c r="U363" s="21"/>
      <c r="V363" s="21" t="s">
        <v>2836</v>
      </c>
      <c r="W363" s="21"/>
      <c r="X363" s="174"/>
      <c r="Y363" s="193"/>
    </row>
    <row r="364" spans="1:25" x14ac:dyDescent="0.3">
      <c r="A364" s="171"/>
      <c r="B364" s="171"/>
      <c r="C364" s="171"/>
      <c r="D364" s="16" t="s">
        <v>2036</v>
      </c>
      <c r="E364" s="25">
        <v>24</v>
      </c>
      <c r="F364" s="31">
        <f>SUM(P362:P368)/E364</f>
        <v>1.0833333333333333</v>
      </c>
      <c r="G364" s="25">
        <v>96</v>
      </c>
      <c r="H364" s="31">
        <f>SUM(Q362:Q368)/G364</f>
        <v>0.70833333333333337</v>
      </c>
      <c r="I364" s="15" t="s">
        <v>2837</v>
      </c>
      <c r="J364" s="21"/>
      <c r="K364" s="9" t="s">
        <v>2829</v>
      </c>
      <c r="L364" s="9"/>
      <c r="M364" s="21"/>
      <c r="N364" s="171"/>
      <c r="O364" s="21"/>
      <c r="P364" s="15">
        <v>2</v>
      </c>
      <c r="Q364" s="15">
        <v>16</v>
      </c>
      <c r="R364" s="39">
        <v>140</v>
      </c>
      <c r="S364" s="10"/>
      <c r="T364" s="9"/>
      <c r="U364" s="21"/>
      <c r="V364" s="21" t="s">
        <v>2838</v>
      </c>
      <c r="W364" s="21"/>
      <c r="X364" s="174"/>
      <c r="Y364" s="193"/>
    </row>
    <row r="365" spans="1:25" ht="30" x14ac:dyDescent="0.3">
      <c r="A365" s="171"/>
      <c r="B365" s="171"/>
      <c r="C365" s="171"/>
      <c r="D365" s="16" t="s">
        <v>2036</v>
      </c>
      <c r="E365" s="25"/>
      <c r="F365" s="25"/>
      <c r="G365" s="25"/>
      <c r="H365" s="25"/>
      <c r="I365" s="15" t="s">
        <v>2839</v>
      </c>
      <c r="J365" s="21"/>
      <c r="K365" s="9" t="s">
        <v>2287</v>
      </c>
      <c r="L365" s="9"/>
      <c r="M365" s="21"/>
      <c r="N365" s="171"/>
      <c r="O365" s="21"/>
      <c r="P365" s="15">
        <v>4</v>
      </c>
      <c r="Q365" s="15">
        <v>4</v>
      </c>
      <c r="R365" s="39">
        <v>240</v>
      </c>
      <c r="S365" s="10"/>
      <c r="T365" s="9"/>
      <c r="U365" s="21"/>
      <c r="V365" s="21"/>
      <c r="W365" s="21"/>
      <c r="X365" s="174"/>
      <c r="Y365" s="193"/>
    </row>
    <row r="366" spans="1:25" ht="30" x14ac:dyDescent="0.3">
      <c r="A366" s="171"/>
      <c r="B366" s="171"/>
      <c r="C366" s="171"/>
      <c r="D366" s="16" t="s">
        <v>2036</v>
      </c>
      <c r="E366" s="25"/>
      <c r="F366" s="25"/>
      <c r="G366" s="25"/>
      <c r="H366" s="25"/>
      <c r="I366" s="15" t="s">
        <v>2840</v>
      </c>
      <c r="J366" s="21"/>
      <c r="K366" s="9" t="s">
        <v>2287</v>
      </c>
      <c r="L366" s="9"/>
      <c r="M366" s="21"/>
      <c r="N366" s="171"/>
      <c r="O366" s="21"/>
      <c r="P366" s="15">
        <v>4</v>
      </c>
      <c r="Q366" s="15">
        <v>4</v>
      </c>
      <c r="R366" s="15">
        <v>250</v>
      </c>
      <c r="S366" s="10"/>
      <c r="T366" s="9"/>
      <c r="U366" s="21"/>
      <c r="V366" s="21"/>
      <c r="W366" s="21"/>
      <c r="X366" s="174"/>
      <c r="Y366" s="193"/>
    </row>
    <row r="367" spans="1:25" x14ac:dyDescent="0.3">
      <c r="A367" s="171"/>
      <c r="B367" s="171"/>
      <c r="C367" s="171"/>
      <c r="D367" s="16" t="s">
        <v>2036</v>
      </c>
      <c r="E367" s="25"/>
      <c r="F367" s="25"/>
      <c r="G367" s="25"/>
      <c r="H367" s="25"/>
      <c r="I367" s="15" t="s">
        <v>2841</v>
      </c>
      <c r="J367" s="21"/>
      <c r="K367" s="9" t="s">
        <v>2829</v>
      </c>
      <c r="L367" s="9"/>
      <c r="M367" s="21"/>
      <c r="N367" s="171"/>
      <c r="O367" s="21"/>
      <c r="P367" s="15">
        <v>4</v>
      </c>
      <c r="Q367" s="15">
        <v>4</v>
      </c>
      <c r="R367" s="15">
        <v>150</v>
      </c>
      <c r="S367" s="10"/>
      <c r="T367" s="9"/>
      <c r="U367" s="21"/>
      <c r="V367" s="21" t="s">
        <v>2842</v>
      </c>
      <c r="W367" s="21"/>
      <c r="X367" s="174"/>
      <c r="Y367" s="193"/>
    </row>
    <row r="368" spans="1:25" ht="30" x14ac:dyDescent="0.3">
      <c r="A368" s="171"/>
      <c r="B368" s="172"/>
      <c r="C368" s="171"/>
      <c r="D368" s="16" t="s">
        <v>2036</v>
      </c>
      <c r="E368" s="23"/>
      <c r="F368" s="23"/>
      <c r="G368" s="23"/>
      <c r="H368" s="23"/>
      <c r="I368" s="15" t="s">
        <v>2843</v>
      </c>
      <c r="J368" s="21"/>
      <c r="K368" s="9" t="s">
        <v>2287</v>
      </c>
      <c r="L368" s="9"/>
      <c r="M368" s="21"/>
      <c r="N368" s="171"/>
      <c r="O368" s="21"/>
      <c r="P368" s="15">
        <v>2</v>
      </c>
      <c r="Q368" s="15">
        <v>16</v>
      </c>
      <c r="R368" s="15">
        <v>140</v>
      </c>
      <c r="S368" s="10"/>
      <c r="T368" s="9"/>
      <c r="U368" s="21"/>
      <c r="V368" s="21" t="s">
        <v>2844</v>
      </c>
      <c r="W368" s="21"/>
      <c r="X368" s="175"/>
      <c r="Y368" s="194"/>
    </row>
    <row r="369" spans="1:25" x14ac:dyDescent="0.3">
      <c r="A369" s="171"/>
      <c r="B369" s="170" t="s">
        <v>2845</v>
      </c>
      <c r="C369" s="171"/>
      <c r="D369" s="20" t="s">
        <v>2041</v>
      </c>
      <c r="E369" s="20"/>
      <c r="F369" s="20"/>
      <c r="G369" s="20"/>
      <c r="H369" s="20"/>
      <c r="I369" s="15"/>
      <c r="J369" s="21"/>
      <c r="K369" s="9" t="s">
        <v>2030</v>
      </c>
      <c r="L369" s="9"/>
      <c r="M369" s="21" t="s">
        <v>1526</v>
      </c>
      <c r="N369" s="171"/>
      <c r="O369" s="21"/>
      <c r="P369" s="15"/>
      <c r="Q369" s="15"/>
      <c r="R369" s="15"/>
      <c r="S369" s="10"/>
      <c r="T369" s="9"/>
      <c r="U369" s="21" t="s">
        <v>2846</v>
      </c>
      <c r="V369" s="21"/>
      <c r="W369" s="21"/>
      <c r="X369" s="173"/>
      <c r="Y369" s="192"/>
    </row>
    <row r="370" spans="1:25" ht="30" x14ac:dyDescent="0.3">
      <c r="A370" s="171"/>
      <c r="B370" s="171"/>
      <c r="C370" s="171"/>
      <c r="D370" s="16" t="s">
        <v>2036</v>
      </c>
      <c r="E370" s="25"/>
      <c r="F370" s="25"/>
      <c r="G370" s="25"/>
      <c r="H370" s="25"/>
      <c r="I370" s="30" t="s">
        <v>2847</v>
      </c>
      <c r="J370" s="21"/>
      <c r="K370" s="9" t="s">
        <v>2287</v>
      </c>
      <c r="L370" s="9"/>
      <c r="M370" s="21"/>
      <c r="N370" s="171"/>
      <c r="O370" s="21"/>
      <c r="P370" s="15">
        <v>2</v>
      </c>
      <c r="Q370" s="15">
        <v>16</v>
      </c>
      <c r="R370" s="15">
        <v>140</v>
      </c>
      <c r="S370" s="10"/>
      <c r="T370" s="9"/>
      <c r="U370" s="21"/>
      <c r="V370" s="21" t="s">
        <v>2848</v>
      </c>
      <c r="W370" s="21"/>
      <c r="X370" s="174"/>
      <c r="Y370" s="193"/>
    </row>
    <row r="371" spans="1:25" x14ac:dyDescent="0.3">
      <c r="A371" s="171"/>
      <c r="B371" s="171"/>
      <c r="C371" s="171"/>
      <c r="D371" s="16" t="s">
        <v>2036</v>
      </c>
      <c r="E371" s="25"/>
      <c r="F371" s="25"/>
      <c r="G371" s="25"/>
      <c r="H371" s="25"/>
      <c r="I371" s="30" t="s">
        <v>2849</v>
      </c>
      <c r="J371" s="21"/>
      <c r="K371" s="9"/>
      <c r="L371" s="9"/>
      <c r="M371" s="21"/>
      <c r="N371" s="171"/>
      <c r="O371" s="21"/>
      <c r="P371" s="15">
        <v>4</v>
      </c>
      <c r="Q371" s="15">
        <v>8</v>
      </c>
      <c r="R371" s="15">
        <v>100</v>
      </c>
      <c r="S371" s="10"/>
      <c r="T371" s="9"/>
      <c r="U371" s="21"/>
      <c r="V371" s="21" t="s">
        <v>2850</v>
      </c>
      <c r="W371" s="21"/>
      <c r="X371" s="174"/>
      <c r="Y371" s="193"/>
    </row>
    <row r="372" spans="1:25" ht="30" x14ac:dyDescent="0.3">
      <c r="A372" s="171"/>
      <c r="B372" s="171"/>
      <c r="C372" s="171"/>
      <c r="D372" s="16" t="s">
        <v>2036</v>
      </c>
      <c r="E372" s="25">
        <v>24</v>
      </c>
      <c r="F372" s="31">
        <f>SUM(P370:P375)/E372</f>
        <v>0.58333333333333337</v>
      </c>
      <c r="G372" s="25">
        <v>96</v>
      </c>
      <c r="H372" s="31">
        <f>SUM(Q370:Q375)/G372</f>
        <v>0.91666666666666663</v>
      </c>
      <c r="I372" s="30" t="s">
        <v>2851</v>
      </c>
      <c r="J372" s="21"/>
      <c r="K372" s="9" t="s">
        <v>2287</v>
      </c>
      <c r="L372" s="9"/>
      <c r="M372" s="21"/>
      <c r="N372" s="171"/>
      <c r="O372" s="21"/>
      <c r="P372" s="15">
        <v>2</v>
      </c>
      <c r="Q372" s="15">
        <v>16</v>
      </c>
      <c r="R372" s="15">
        <v>140</v>
      </c>
      <c r="S372" s="10"/>
      <c r="T372" s="9"/>
      <c r="U372" s="21"/>
      <c r="V372" s="21" t="s">
        <v>2852</v>
      </c>
      <c r="W372" s="21"/>
      <c r="X372" s="174"/>
      <c r="Y372" s="193"/>
    </row>
    <row r="373" spans="1:25" x14ac:dyDescent="0.3">
      <c r="A373" s="171"/>
      <c r="B373" s="171"/>
      <c r="C373" s="171"/>
      <c r="D373" s="16" t="s">
        <v>2036</v>
      </c>
      <c r="E373" s="25"/>
      <c r="F373" s="25"/>
      <c r="G373" s="25"/>
      <c r="H373" s="25"/>
      <c r="I373" s="30" t="s">
        <v>2853</v>
      </c>
      <c r="J373" s="21"/>
      <c r="K373" s="9" t="s">
        <v>2829</v>
      </c>
      <c r="L373" s="9"/>
      <c r="M373" s="21"/>
      <c r="N373" s="171"/>
      <c r="O373" s="21"/>
      <c r="P373" s="15">
        <v>2</v>
      </c>
      <c r="Q373" s="15">
        <v>16</v>
      </c>
      <c r="R373" s="15">
        <v>80</v>
      </c>
      <c r="S373" s="10"/>
      <c r="T373" s="9"/>
      <c r="U373" s="21"/>
      <c r="V373" s="21" t="s">
        <v>2854</v>
      </c>
      <c r="W373" s="21"/>
      <c r="X373" s="174"/>
      <c r="Y373" s="193"/>
    </row>
    <row r="374" spans="1:25" x14ac:dyDescent="0.3">
      <c r="A374" s="171"/>
      <c r="B374" s="171"/>
      <c r="C374" s="171"/>
      <c r="D374" s="16" t="s">
        <v>2036</v>
      </c>
      <c r="E374" s="25"/>
      <c r="F374" s="25"/>
      <c r="G374" s="25"/>
      <c r="H374" s="25"/>
      <c r="I374" s="30" t="s">
        <v>2855</v>
      </c>
      <c r="J374" s="21"/>
      <c r="K374" s="9" t="s">
        <v>2829</v>
      </c>
      <c r="L374" s="9"/>
      <c r="M374" s="21"/>
      <c r="N374" s="171"/>
      <c r="O374" s="21"/>
      <c r="P374" s="15">
        <v>2</v>
      </c>
      <c r="Q374" s="15">
        <v>16</v>
      </c>
      <c r="R374" s="15">
        <v>80</v>
      </c>
      <c r="S374" s="10"/>
      <c r="T374" s="9"/>
      <c r="U374" s="21"/>
      <c r="V374" s="21" t="s">
        <v>2856</v>
      </c>
      <c r="W374" s="21"/>
      <c r="X374" s="174"/>
      <c r="Y374" s="193"/>
    </row>
    <row r="375" spans="1:25" x14ac:dyDescent="0.3">
      <c r="A375" s="171"/>
      <c r="B375" s="172"/>
      <c r="C375" s="171"/>
      <c r="D375" s="16" t="s">
        <v>2036</v>
      </c>
      <c r="E375" s="23"/>
      <c r="F375" s="23"/>
      <c r="G375" s="23"/>
      <c r="H375" s="23"/>
      <c r="I375" s="30" t="s">
        <v>2857</v>
      </c>
      <c r="J375" s="21"/>
      <c r="K375" s="9" t="s">
        <v>2829</v>
      </c>
      <c r="L375" s="9"/>
      <c r="M375" s="21"/>
      <c r="N375" s="171"/>
      <c r="O375" s="21"/>
      <c r="P375" s="15">
        <v>2</v>
      </c>
      <c r="Q375" s="15">
        <v>16</v>
      </c>
      <c r="R375" s="15">
        <v>80</v>
      </c>
      <c r="S375" s="10"/>
      <c r="T375" s="9"/>
      <c r="U375" s="21"/>
      <c r="V375" s="21" t="s">
        <v>2858</v>
      </c>
      <c r="W375" s="21"/>
      <c r="X375" s="175"/>
      <c r="Y375" s="194"/>
    </row>
    <row r="376" spans="1:25" x14ac:dyDescent="0.3">
      <c r="A376" s="171"/>
      <c r="B376" s="170" t="s">
        <v>2859</v>
      </c>
      <c r="C376" s="171"/>
      <c r="D376" s="20" t="s">
        <v>2041</v>
      </c>
      <c r="E376" s="20"/>
      <c r="F376" s="20"/>
      <c r="G376" s="20"/>
      <c r="H376" s="20"/>
      <c r="I376" s="15"/>
      <c r="J376" s="21"/>
      <c r="K376" s="9" t="s">
        <v>2030</v>
      </c>
      <c r="L376" s="9"/>
      <c r="M376" s="21" t="s">
        <v>1526</v>
      </c>
      <c r="N376" s="171"/>
      <c r="O376" s="21"/>
      <c r="P376" s="15"/>
      <c r="Q376" s="15"/>
      <c r="R376" s="15"/>
      <c r="S376" s="10"/>
      <c r="T376" s="9"/>
      <c r="U376" s="21" t="s">
        <v>2860</v>
      </c>
      <c r="V376" s="21"/>
      <c r="W376" s="21"/>
      <c r="X376" s="173"/>
      <c r="Y376" s="192"/>
    </row>
    <row r="377" spans="1:25" x14ac:dyDescent="0.3">
      <c r="A377" s="171"/>
      <c r="B377" s="171"/>
      <c r="C377" s="171"/>
      <c r="D377" s="16" t="s">
        <v>2036</v>
      </c>
      <c r="E377" s="25"/>
      <c r="F377" s="25"/>
      <c r="G377" s="25"/>
      <c r="H377" s="25"/>
      <c r="I377" s="30" t="s">
        <v>2861</v>
      </c>
      <c r="J377" s="21"/>
      <c r="K377" s="9" t="s">
        <v>2829</v>
      </c>
      <c r="L377" s="9"/>
      <c r="M377" s="21"/>
      <c r="N377" s="171"/>
      <c r="O377" s="21"/>
      <c r="P377" s="15">
        <v>2</v>
      </c>
      <c r="Q377" s="15">
        <v>16</v>
      </c>
      <c r="R377" s="15">
        <v>140</v>
      </c>
      <c r="S377" s="10"/>
      <c r="T377" s="9"/>
      <c r="U377" s="21"/>
      <c r="V377" s="21" t="s">
        <v>2862</v>
      </c>
      <c r="W377" s="21"/>
      <c r="X377" s="174"/>
      <c r="Y377" s="193"/>
    </row>
    <row r="378" spans="1:25" x14ac:dyDescent="0.3">
      <c r="A378" s="171"/>
      <c r="B378" s="171"/>
      <c r="C378" s="171"/>
      <c r="D378" s="16" t="s">
        <v>2036</v>
      </c>
      <c r="E378" s="25">
        <v>24</v>
      </c>
      <c r="F378" s="31">
        <f>SUM(P377:P381)/E378</f>
        <v>0.45833333333333331</v>
      </c>
      <c r="G378" s="25">
        <v>96</v>
      </c>
      <c r="H378" s="31">
        <f>SUM(Q377:Q381)/G378</f>
        <v>0.58333333333333337</v>
      </c>
      <c r="I378" s="15" t="s">
        <v>2863</v>
      </c>
      <c r="J378" s="21"/>
      <c r="K378" s="9" t="s">
        <v>2030</v>
      </c>
      <c r="L378" s="9"/>
      <c r="M378" s="21"/>
      <c r="N378" s="171"/>
      <c r="O378" s="21"/>
      <c r="P378" s="15">
        <v>1</v>
      </c>
      <c r="Q378" s="15">
        <v>4</v>
      </c>
      <c r="R378" s="15">
        <v>20</v>
      </c>
      <c r="S378" s="10"/>
      <c r="T378" s="9"/>
      <c r="U378" s="21"/>
      <c r="V378" s="21" t="s">
        <v>2864</v>
      </c>
      <c r="W378" s="21"/>
      <c r="X378" s="174"/>
      <c r="Y378" s="193"/>
    </row>
    <row r="379" spans="1:25" x14ac:dyDescent="0.3">
      <c r="A379" s="171"/>
      <c r="B379" s="171"/>
      <c r="C379" s="171"/>
      <c r="D379" s="16" t="s">
        <v>2036</v>
      </c>
      <c r="E379" s="25"/>
      <c r="F379" s="25"/>
      <c r="G379" s="25"/>
      <c r="H379" s="25"/>
      <c r="I379" s="30" t="s">
        <v>2865</v>
      </c>
      <c r="J379" s="21"/>
      <c r="K379" s="9" t="s">
        <v>2829</v>
      </c>
      <c r="L379" s="9"/>
      <c r="M379" s="21"/>
      <c r="N379" s="171"/>
      <c r="O379" s="21"/>
      <c r="P379" s="15">
        <v>2</v>
      </c>
      <c r="Q379" s="15">
        <v>16</v>
      </c>
      <c r="R379" s="15">
        <v>80</v>
      </c>
      <c r="S379" s="10"/>
      <c r="T379" s="9"/>
      <c r="U379" s="21"/>
      <c r="V379" s="21" t="s">
        <v>2866</v>
      </c>
      <c r="W379" s="21"/>
      <c r="X379" s="174"/>
      <c r="Y379" s="193"/>
    </row>
    <row r="380" spans="1:25" x14ac:dyDescent="0.3">
      <c r="A380" s="171"/>
      <c r="B380" s="171"/>
      <c r="C380" s="171"/>
      <c r="D380" s="16" t="s">
        <v>2036</v>
      </c>
      <c r="E380" s="25"/>
      <c r="F380" s="25"/>
      <c r="G380" s="25"/>
      <c r="H380" s="25"/>
      <c r="I380" s="30" t="s">
        <v>2867</v>
      </c>
      <c r="J380" s="21"/>
      <c r="K380" s="9" t="s">
        <v>2829</v>
      </c>
      <c r="L380" s="9"/>
      <c r="M380" s="21"/>
      <c r="N380" s="171"/>
      <c r="O380" s="21"/>
      <c r="P380" s="15">
        <v>2</v>
      </c>
      <c r="Q380" s="15">
        <v>16</v>
      </c>
      <c r="R380" s="15">
        <v>80</v>
      </c>
      <c r="S380" s="10"/>
      <c r="T380" s="9"/>
      <c r="U380" s="21"/>
      <c r="V380" s="21" t="s">
        <v>2868</v>
      </c>
      <c r="W380" s="21"/>
      <c r="X380" s="174"/>
      <c r="Y380" s="193"/>
    </row>
    <row r="381" spans="1:25" x14ac:dyDescent="0.3">
      <c r="A381" s="171"/>
      <c r="B381" s="172"/>
      <c r="C381" s="171"/>
      <c r="D381" s="16" t="s">
        <v>2036</v>
      </c>
      <c r="E381" s="23"/>
      <c r="F381" s="23"/>
      <c r="G381" s="23"/>
      <c r="H381" s="23"/>
      <c r="I381" s="15" t="s">
        <v>2869</v>
      </c>
      <c r="J381" s="21"/>
      <c r="K381" s="9" t="s">
        <v>2030</v>
      </c>
      <c r="L381" s="9"/>
      <c r="M381" s="21"/>
      <c r="N381" s="171"/>
      <c r="O381" s="21"/>
      <c r="P381" s="15">
        <v>4</v>
      </c>
      <c r="Q381" s="15">
        <v>4</v>
      </c>
      <c r="R381" s="15">
        <v>140</v>
      </c>
      <c r="S381" s="10"/>
      <c r="T381" s="9"/>
      <c r="U381" s="21"/>
      <c r="V381" s="21" t="s">
        <v>2870</v>
      </c>
      <c r="W381" s="21"/>
      <c r="X381" s="175"/>
      <c r="Y381" s="194"/>
    </row>
    <row r="382" spans="1:25" ht="19.5" customHeight="1" x14ac:dyDescent="0.3">
      <c r="A382" s="171"/>
      <c r="B382" s="170" t="s">
        <v>2871</v>
      </c>
      <c r="C382" s="171"/>
      <c r="D382" s="20" t="s">
        <v>2041</v>
      </c>
      <c r="E382" s="20"/>
      <c r="F382" s="20"/>
      <c r="G382" s="20"/>
      <c r="H382" s="20"/>
      <c r="I382" s="15"/>
      <c r="J382" s="21"/>
      <c r="K382" s="9" t="s">
        <v>2030</v>
      </c>
      <c r="L382" s="9"/>
      <c r="M382" s="21" t="s">
        <v>1526</v>
      </c>
      <c r="N382" s="171"/>
      <c r="O382" s="21"/>
      <c r="P382" s="15"/>
      <c r="Q382" s="15"/>
      <c r="R382" s="15"/>
      <c r="S382" s="10"/>
      <c r="T382" s="9"/>
      <c r="U382" s="21" t="s">
        <v>2872</v>
      </c>
      <c r="V382" s="21"/>
      <c r="W382" s="21"/>
      <c r="X382" s="173"/>
      <c r="Y382" s="192"/>
    </row>
    <row r="383" spans="1:25" ht="19.5" customHeight="1" x14ac:dyDescent="0.3">
      <c r="A383" s="171"/>
      <c r="B383" s="171"/>
      <c r="C383" s="171"/>
      <c r="D383" s="16" t="s">
        <v>2036</v>
      </c>
      <c r="E383" s="25">
        <v>24</v>
      </c>
      <c r="F383" s="31">
        <f>SUM(P383:P385)/E383</f>
        <v>0.33333333333333331</v>
      </c>
      <c r="G383" s="25">
        <v>96</v>
      </c>
      <c r="H383" s="31">
        <f>SUM(Q383:Q385)/G383</f>
        <v>0.58333333333333337</v>
      </c>
      <c r="I383" s="30" t="s">
        <v>2873</v>
      </c>
      <c r="J383" s="21"/>
      <c r="K383" s="9" t="s">
        <v>2829</v>
      </c>
      <c r="L383" s="9"/>
      <c r="M383" s="21"/>
      <c r="N383" s="171"/>
      <c r="O383" s="21"/>
      <c r="P383" s="15">
        <v>2</v>
      </c>
      <c r="Q383" s="15">
        <v>16</v>
      </c>
      <c r="R383" s="15">
        <v>540</v>
      </c>
      <c r="S383" s="10"/>
      <c r="T383" s="9"/>
      <c r="U383" s="21"/>
      <c r="V383" s="21" t="s">
        <v>2874</v>
      </c>
      <c r="W383" s="21"/>
      <c r="X383" s="174"/>
      <c r="Y383" s="193"/>
    </row>
    <row r="384" spans="1:25" ht="19.5" customHeight="1" x14ac:dyDescent="0.3">
      <c r="A384" s="171"/>
      <c r="B384" s="171"/>
      <c r="C384" s="171"/>
      <c r="D384" s="16" t="s">
        <v>2036</v>
      </c>
      <c r="E384" s="25"/>
      <c r="F384" s="25"/>
      <c r="G384" s="25"/>
      <c r="H384" s="25"/>
      <c r="I384" s="15" t="s">
        <v>2875</v>
      </c>
      <c r="J384" s="21"/>
      <c r="K384" s="9" t="s">
        <v>2829</v>
      </c>
      <c r="L384" s="9"/>
      <c r="M384" s="21"/>
      <c r="N384" s="171"/>
      <c r="O384" s="21"/>
      <c r="P384" s="15">
        <v>4</v>
      </c>
      <c r="Q384" s="15">
        <v>24</v>
      </c>
      <c r="R384" s="15">
        <v>140</v>
      </c>
      <c r="S384" s="10"/>
      <c r="T384" s="9"/>
      <c r="U384" s="21"/>
      <c r="V384" s="21" t="s">
        <v>2876</v>
      </c>
      <c r="W384" s="21"/>
      <c r="X384" s="174"/>
      <c r="Y384" s="193"/>
    </row>
    <row r="385" spans="1:25" ht="21.75" customHeight="1" x14ac:dyDescent="0.3">
      <c r="A385" s="171"/>
      <c r="B385" s="171"/>
      <c r="C385" s="171"/>
      <c r="D385" s="16" t="s">
        <v>2036</v>
      </c>
      <c r="E385" s="23"/>
      <c r="F385" s="25"/>
      <c r="G385" s="23"/>
      <c r="H385" s="25"/>
      <c r="I385" s="30" t="s">
        <v>2877</v>
      </c>
      <c r="J385" s="21"/>
      <c r="K385" s="9" t="s">
        <v>2287</v>
      </c>
      <c r="L385" s="9"/>
      <c r="M385" s="21"/>
      <c r="N385" s="171"/>
      <c r="O385" s="21"/>
      <c r="P385" s="15">
        <v>2</v>
      </c>
      <c r="Q385" s="15">
        <v>16</v>
      </c>
      <c r="R385" s="15">
        <v>140</v>
      </c>
      <c r="S385" s="10"/>
      <c r="T385" s="9"/>
      <c r="U385" s="21"/>
      <c r="V385" s="21" t="s">
        <v>2878</v>
      </c>
      <c r="W385" s="21"/>
      <c r="X385" s="174"/>
      <c r="Y385" s="193"/>
    </row>
    <row r="386" spans="1:25" x14ac:dyDescent="0.3">
      <c r="A386" s="170" t="s">
        <v>2026</v>
      </c>
      <c r="B386" s="170" t="s">
        <v>2879</v>
      </c>
      <c r="C386" s="170" t="s">
        <v>2880</v>
      </c>
      <c r="D386" s="20" t="s">
        <v>2041</v>
      </c>
      <c r="E386" s="20"/>
      <c r="F386" s="20"/>
      <c r="G386" s="20"/>
      <c r="H386" s="20"/>
      <c r="I386" s="15"/>
      <c r="J386" s="21"/>
      <c r="K386" s="9" t="s">
        <v>2030</v>
      </c>
      <c r="L386" s="9"/>
      <c r="M386" s="21" t="s">
        <v>1526</v>
      </c>
      <c r="N386" s="171"/>
      <c r="O386" s="21"/>
      <c r="P386" s="15"/>
      <c r="Q386" s="15"/>
      <c r="R386" s="15"/>
      <c r="S386" s="10"/>
      <c r="T386" s="9"/>
      <c r="U386" s="21"/>
      <c r="V386" s="21"/>
      <c r="W386" s="21"/>
      <c r="X386" s="173"/>
      <c r="Y386" s="192"/>
    </row>
    <row r="387" spans="1:25" x14ac:dyDescent="0.3">
      <c r="A387" s="171"/>
      <c r="B387" s="171"/>
      <c r="C387" s="171"/>
      <c r="D387" s="16" t="s">
        <v>2036</v>
      </c>
      <c r="E387" s="25"/>
      <c r="F387" s="25"/>
      <c r="G387" s="25"/>
      <c r="H387" s="25"/>
      <c r="I387" s="30" t="s">
        <v>2881</v>
      </c>
      <c r="J387" s="21"/>
      <c r="K387" s="9" t="s">
        <v>2030</v>
      </c>
      <c r="L387" s="9"/>
      <c r="M387" s="21"/>
      <c r="N387" s="171"/>
      <c r="O387" s="21"/>
      <c r="P387" s="15">
        <v>4</v>
      </c>
      <c r="Q387" s="15">
        <v>32</v>
      </c>
      <c r="R387" s="15">
        <v>40</v>
      </c>
      <c r="S387" s="10"/>
      <c r="T387" s="9"/>
      <c r="U387" s="21" t="s">
        <v>2882</v>
      </c>
      <c r="V387" s="21" t="s">
        <v>2082</v>
      </c>
      <c r="W387" s="21"/>
      <c r="X387" s="174"/>
      <c r="Y387" s="193"/>
    </row>
    <row r="388" spans="1:25" x14ac:dyDescent="0.3">
      <c r="A388" s="171"/>
      <c r="B388" s="171"/>
      <c r="C388" s="171"/>
      <c r="D388" s="16" t="s">
        <v>2036</v>
      </c>
      <c r="E388" s="25">
        <v>64</v>
      </c>
      <c r="F388" s="31">
        <f>SUM(P387:P390)/E388</f>
        <v>0.3125</v>
      </c>
      <c r="G388" s="25">
        <v>240</v>
      </c>
      <c r="H388" s="31">
        <f>SUM(Q387:Q390)/G388</f>
        <v>0.36666666666666664</v>
      </c>
      <c r="I388" s="30" t="s">
        <v>2883</v>
      </c>
      <c r="J388" s="21"/>
      <c r="K388" s="9" t="s">
        <v>2030</v>
      </c>
      <c r="L388" s="9"/>
      <c r="M388" s="21"/>
      <c r="N388" s="171"/>
      <c r="O388" s="21"/>
      <c r="P388" s="15">
        <v>4</v>
      </c>
      <c r="Q388" s="15">
        <v>16</v>
      </c>
      <c r="R388" s="15">
        <v>40</v>
      </c>
      <c r="S388" s="10"/>
      <c r="T388" s="9"/>
      <c r="U388" s="21" t="s">
        <v>2884</v>
      </c>
      <c r="V388" s="21" t="s">
        <v>2107</v>
      </c>
      <c r="W388" s="21"/>
      <c r="X388" s="174"/>
      <c r="Y388" s="193"/>
    </row>
    <row r="389" spans="1:25" x14ac:dyDescent="0.3">
      <c r="A389" s="171"/>
      <c r="B389" s="171"/>
      <c r="C389" s="171"/>
      <c r="D389" s="16" t="s">
        <v>2036</v>
      </c>
      <c r="E389" s="25"/>
      <c r="F389" s="25"/>
      <c r="G389" s="25"/>
      <c r="H389" s="25"/>
      <c r="I389" s="30" t="s">
        <v>2885</v>
      </c>
      <c r="J389" s="21"/>
      <c r="K389" s="9" t="s">
        <v>2030</v>
      </c>
      <c r="L389" s="9"/>
      <c r="M389" s="21"/>
      <c r="N389" s="171"/>
      <c r="O389" s="21"/>
      <c r="P389" s="15">
        <v>8</v>
      </c>
      <c r="Q389" s="15">
        <v>32</v>
      </c>
      <c r="R389" s="15">
        <v>80</v>
      </c>
      <c r="S389" s="10"/>
      <c r="T389" s="9"/>
      <c r="U389" s="21" t="s">
        <v>2886</v>
      </c>
      <c r="V389" s="21" t="s">
        <v>2163</v>
      </c>
      <c r="W389" s="21"/>
      <c r="X389" s="174"/>
      <c r="Y389" s="193"/>
    </row>
    <row r="390" spans="1:25" x14ac:dyDescent="0.3">
      <c r="A390" s="171"/>
      <c r="B390" s="172"/>
      <c r="C390" s="171"/>
      <c r="D390" s="16" t="s">
        <v>2036</v>
      </c>
      <c r="E390" s="23"/>
      <c r="F390" s="23"/>
      <c r="G390" s="23"/>
      <c r="H390" s="23"/>
      <c r="I390" s="15" t="s">
        <v>2887</v>
      </c>
      <c r="J390" s="21"/>
      <c r="K390" s="9" t="s">
        <v>2030</v>
      </c>
      <c r="L390" s="9"/>
      <c r="M390" s="21"/>
      <c r="N390" s="171"/>
      <c r="O390" s="21"/>
      <c r="P390" s="15">
        <v>4</v>
      </c>
      <c r="Q390" s="15">
        <v>8</v>
      </c>
      <c r="R390" s="15">
        <v>40</v>
      </c>
      <c r="S390" s="10"/>
      <c r="T390" s="9"/>
      <c r="U390" s="21"/>
      <c r="V390" s="21"/>
      <c r="W390" s="21"/>
      <c r="X390" s="175"/>
      <c r="Y390" s="194"/>
    </row>
    <row r="391" spans="1:25" x14ac:dyDescent="0.3">
      <c r="A391" s="171"/>
      <c r="B391" s="170" t="s">
        <v>2888</v>
      </c>
      <c r="C391" s="171"/>
      <c r="D391" s="20" t="s">
        <v>2041</v>
      </c>
      <c r="E391" s="20"/>
      <c r="F391" s="20"/>
      <c r="G391" s="20"/>
      <c r="H391" s="20"/>
      <c r="I391" s="15"/>
      <c r="J391" s="21"/>
      <c r="K391" s="9" t="s">
        <v>2030</v>
      </c>
      <c r="L391" s="9"/>
      <c r="M391" s="21" t="s">
        <v>1526</v>
      </c>
      <c r="N391" s="171"/>
      <c r="O391" s="21"/>
      <c r="P391" s="15"/>
      <c r="Q391" s="15"/>
      <c r="R391" s="15"/>
      <c r="S391" s="10"/>
      <c r="T391" s="9"/>
      <c r="U391" s="21" t="s">
        <v>2889</v>
      </c>
      <c r="V391" s="21"/>
      <c r="W391" s="21"/>
      <c r="X391" s="173"/>
      <c r="Y391" s="192"/>
    </row>
    <row r="392" spans="1:25" x14ac:dyDescent="0.3">
      <c r="A392" s="171"/>
      <c r="B392" s="171"/>
      <c r="C392" s="171"/>
      <c r="D392" s="16" t="s">
        <v>2036</v>
      </c>
      <c r="E392" s="25"/>
      <c r="F392" s="25"/>
      <c r="G392" s="25"/>
      <c r="H392" s="25"/>
      <c r="I392" s="30" t="s">
        <v>2890</v>
      </c>
      <c r="J392" s="21"/>
      <c r="K392" s="9" t="s">
        <v>2030</v>
      </c>
      <c r="L392" s="9"/>
      <c r="M392" s="21"/>
      <c r="N392" s="171"/>
      <c r="O392" s="21"/>
      <c r="P392" s="15">
        <v>4</v>
      </c>
      <c r="Q392" s="15">
        <v>32</v>
      </c>
      <c r="R392" s="15">
        <v>40</v>
      </c>
      <c r="S392" s="10"/>
      <c r="T392" s="9"/>
      <c r="U392" s="21" t="s">
        <v>2891</v>
      </c>
      <c r="V392" s="21" t="s">
        <v>2104</v>
      </c>
      <c r="W392" s="21"/>
      <c r="X392" s="174"/>
      <c r="Y392" s="193"/>
    </row>
    <row r="393" spans="1:25" x14ac:dyDescent="0.3">
      <c r="A393" s="171"/>
      <c r="B393" s="171"/>
      <c r="C393" s="171"/>
      <c r="D393" s="16" t="s">
        <v>2036</v>
      </c>
      <c r="E393" s="25"/>
      <c r="F393" s="25"/>
      <c r="G393" s="25"/>
      <c r="H393" s="25"/>
      <c r="I393" s="30" t="s">
        <v>2892</v>
      </c>
      <c r="J393" s="21"/>
      <c r="K393" s="9" t="s">
        <v>2030</v>
      </c>
      <c r="L393" s="9"/>
      <c r="M393" s="21"/>
      <c r="N393" s="171"/>
      <c r="O393" s="21"/>
      <c r="P393" s="15">
        <v>4</v>
      </c>
      <c r="Q393" s="15">
        <v>32</v>
      </c>
      <c r="R393" s="15">
        <v>40</v>
      </c>
      <c r="S393" s="10"/>
      <c r="T393" s="9"/>
      <c r="U393" s="21" t="s">
        <v>2893</v>
      </c>
      <c r="V393" s="21" t="s">
        <v>2085</v>
      </c>
      <c r="W393" s="21"/>
      <c r="X393" s="174"/>
      <c r="Y393" s="193"/>
    </row>
    <row r="394" spans="1:25" x14ac:dyDescent="0.3">
      <c r="A394" s="171"/>
      <c r="B394" s="171"/>
      <c r="C394" s="171"/>
      <c r="D394" s="16" t="s">
        <v>2036</v>
      </c>
      <c r="E394" s="25">
        <v>64</v>
      </c>
      <c r="F394" s="31">
        <f>SUM(P392:P398)/E394</f>
        <v>0.5</v>
      </c>
      <c r="G394" s="25">
        <v>240</v>
      </c>
      <c r="H394" s="31">
        <f>SUM(Q392:Q398)/G394</f>
        <v>0.76666666666666672</v>
      </c>
      <c r="I394" s="30" t="s">
        <v>1783</v>
      </c>
      <c r="J394" s="21"/>
      <c r="K394" s="9" t="s">
        <v>2030</v>
      </c>
      <c r="L394" s="9"/>
      <c r="M394" s="21"/>
      <c r="N394" s="171"/>
      <c r="O394" s="21"/>
      <c r="P394" s="15">
        <v>4</v>
      </c>
      <c r="Q394" s="15">
        <v>8</v>
      </c>
      <c r="R394" s="15">
        <v>80</v>
      </c>
      <c r="S394" s="10"/>
      <c r="T394" s="9"/>
      <c r="U394" s="21" t="s">
        <v>2894</v>
      </c>
      <c r="V394" s="21" t="s">
        <v>2200</v>
      </c>
      <c r="W394" s="21"/>
      <c r="X394" s="174"/>
      <c r="Y394" s="193"/>
    </row>
    <row r="395" spans="1:25" x14ac:dyDescent="0.3">
      <c r="A395" s="171"/>
      <c r="B395" s="171"/>
      <c r="C395" s="171"/>
      <c r="D395" s="16" t="s">
        <v>2036</v>
      </c>
      <c r="E395" s="25"/>
      <c r="F395" s="25"/>
      <c r="G395" s="25"/>
      <c r="H395" s="25"/>
      <c r="I395" s="30" t="s">
        <v>1823</v>
      </c>
      <c r="J395" s="21"/>
      <c r="K395" s="9" t="s">
        <v>2030</v>
      </c>
      <c r="L395" s="9"/>
      <c r="M395" s="21"/>
      <c r="N395" s="171"/>
      <c r="O395" s="21"/>
      <c r="P395" s="15">
        <v>4</v>
      </c>
      <c r="Q395" s="15">
        <v>16</v>
      </c>
      <c r="R395" s="15">
        <v>40</v>
      </c>
      <c r="S395" s="10"/>
      <c r="T395" s="9"/>
      <c r="U395" s="21" t="s">
        <v>2895</v>
      </c>
      <c r="V395" s="21" t="s">
        <v>2091</v>
      </c>
      <c r="W395" s="21"/>
      <c r="X395" s="174"/>
      <c r="Y395" s="193"/>
    </row>
    <row r="396" spans="1:25" x14ac:dyDescent="0.3">
      <c r="A396" s="171"/>
      <c r="B396" s="171"/>
      <c r="C396" s="171"/>
      <c r="D396" s="16" t="s">
        <v>2036</v>
      </c>
      <c r="E396" s="25"/>
      <c r="F396" s="25"/>
      <c r="G396" s="25"/>
      <c r="H396" s="25"/>
      <c r="I396" s="30" t="s">
        <v>1807</v>
      </c>
      <c r="J396" s="21"/>
      <c r="K396" s="9" t="s">
        <v>2030</v>
      </c>
      <c r="L396" s="9"/>
      <c r="M396" s="21"/>
      <c r="N396" s="171"/>
      <c r="O396" s="21"/>
      <c r="P396" s="15">
        <v>8</v>
      </c>
      <c r="Q396" s="15">
        <v>48</v>
      </c>
      <c r="R396" s="15">
        <v>80</v>
      </c>
      <c r="S396" s="10"/>
      <c r="T396" s="9"/>
      <c r="U396" s="21" t="s">
        <v>2896</v>
      </c>
      <c r="V396" s="21" t="s">
        <v>2160</v>
      </c>
      <c r="W396" s="21"/>
      <c r="X396" s="174"/>
      <c r="Y396" s="193"/>
    </row>
    <row r="397" spans="1:25" x14ac:dyDescent="0.3">
      <c r="A397" s="171"/>
      <c r="B397" s="171"/>
      <c r="C397" s="171"/>
      <c r="D397" s="16" t="s">
        <v>2036</v>
      </c>
      <c r="E397" s="25"/>
      <c r="F397" s="25"/>
      <c r="G397" s="25"/>
      <c r="H397" s="25"/>
      <c r="I397" s="30" t="s">
        <v>2897</v>
      </c>
      <c r="J397" s="21"/>
      <c r="K397" s="9" t="s">
        <v>2030</v>
      </c>
      <c r="L397" s="9"/>
      <c r="M397" s="21"/>
      <c r="N397" s="171"/>
      <c r="O397" s="21"/>
      <c r="P397" s="15">
        <v>4</v>
      </c>
      <c r="Q397" s="15">
        <v>32</v>
      </c>
      <c r="R397" s="15">
        <v>40</v>
      </c>
      <c r="S397" s="10"/>
      <c r="T397" s="9"/>
      <c r="U397" s="21" t="s">
        <v>2898</v>
      </c>
      <c r="V397" s="21" t="s">
        <v>2194</v>
      </c>
      <c r="W397" s="21"/>
      <c r="X397" s="174"/>
      <c r="Y397" s="193"/>
    </row>
    <row r="398" spans="1:25" x14ac:dyDescent="0.3">
      <c r="A398" s="171"/>
      <c r="B398" s="172"/>
      <c r="C398" s="171"/>
      <c r="D398" s="16" t="s">
        <v>2036</v>
      </c>
      <c r="E398" s="23"/>
      <c r="F398" s="23"/>
      <c r="G398" s="23"/>
      <c r="H398" s="23"/>
      <c r="I398" s="30" t="s">
        <v>2899</v>
      </c>
      <c r="J398" s="21"/>
      <c r="K398" s="9" t="s">
        <v>2030</v>
      </c>
      <c r="L398" s="9"/>
      <c r="M398" s="21"/>
      <c r="N398" s="171"/>
      <c r="O398" s="21"/>
      <c r="P398" s="15">
        <v>4</v>
      </c>
      <c r="Q398" s="15">
        <v>16</v>
      </c>
      <c r="R398" s="15">
        <v>40</v>
      </c>
      <c r="S398" s="10"/>
      <c r="T398" s="9"/>
      <c r="U398" s="21" t="s">
        <v>2900</v>
      </c>
      <c r="V398" s="21" t="s">
        <v>2088</v>
      </c>
      <c r="W398" s="21"/>
      <c r="X398" s="175"/>
      <c r="Y398" s="194"/>
    </row>
    <row r="399" spans="1:25" x14ac:dyDescent="0.3">
      <c r="A399" s="171"/>
      <c r="B399" s="170" t="s">
        <v>2901</v>
      </c>
      <c r="C399" s="171"/>
      <c r="D399" s="20" t="s">
        <v>2041</v>
      </c>
      <c r="E399" s="20"/>
      <c r="F399" s="20"/>
      <c r="G399" s="20"/>
      <c r="H399" s="20"/>
      <c r="I399" s="15"/>
      <c r="J399" s="21"/>
      <c r="K399" s="9" t="s">
        <v>2030</v>
      </c>
      <c r="L399" s="9"/>
      <c r="M399" s="21" t="s">
        <v>1526</v>
      </c>
      <c r="N399" s="171"/>
      <c r="O399" s="21"/>
      <c r="P399" s="15"/>
      <c r="Q399" s="15"/>
      <c r="R399" s="15"/>
      <c r="S399" s="10"/>
      <c r="T399" s="9"/>
      <c r="U399" s="21" t="s">
        <v>2902</v>
      </c>
      <c r="V399" s="21"/>
      <c r="W399" s="21"/>
      <c r="X399" s="173"/>
      <c r="Y399" s="192"/>
    </row>
    <row r="400" spans="1:25" x14ac:dyDescent="0.3">
      <c r="A400" s="171"/>
      <c r="B400" s="171"/>
      <c r="C400" s="171"/>
      <c r="D400" s="16" t="s">
        <v>2036</v>
      </c>
      <c r="E400" s="25"/>
      <c r="F400" s="25"/>
      <c r="G400" s="25"/>
      <c r="H400" s="25"/>
      <c r="I400" s="30" t="s">
        <v>2903</v>
      </c>
      <c r="J400" s="21"/>
      <c r="K400" s="9" t="s">
        <v>2030</v>
      </c>
      <c r="L400" s="9"/>
      <c r="M400" s="21"/>
      <c r="N400" s="171"/>
      <c r="O400" s="21"/>
      <c r="P400" s="15">
        <v>4</v>
      </c>
      <c r="Q400" s="15">
        <v>32</v>
      </c>
      <c r="R400" s="15">
        <v>40</v>
      </c>
      <c r="S400" s="10"/>
      <c r="T400" s="9"/>
      <c r="U400" s="21" t="s">
        <v>2904</v>
      </c>
      <c r="V400" s="21" t="s">
        <v>2121</v>
      </c>
      <c r="W400" s="21"/>
      <c r="X400" s="174"/>
      <c r="Y400" s="193"/>
    </row>
    <row r="401" spans="1:25" x14ac:dyDescent="0.3">
      <c r="A401" s="171"/>
      <c r="B401" s="171"/>
      <c r="C401" s="171"/>
      <c r="D401" s="16" t="s">
        <v>2036</v>
      </c>
      <c r="E401" s="25"/>
      <c r="F401" s="25"/>
      <c r="G401" s="25"/>
      <c r="H401" s="25"/>
      <c r="I401" s="30" t="s">
        <v>2905</v>
      </c>
      <c r="J401" s="21"/>
      <c r="K401" s="9" t="s">
        <v>2030</v>
      </c>
      <c r="L401" s="9"/>
      <c r="M401" s="21"/>
      <c r="N401" s="171"/>
      <c r="O401" s="21"/>
      <c r="P401" s="15">
        <v>4</v>
      </c>
      <c r="Q401" s="15">
        <v>32</v>
      </c>
      <c r="R401" s="15">
        <v>40</v>
      </c>
      <c r="S401" s="10"/>
      <c r="T401" s="9"/>
      <c r="U401" s="21" t="s">
        <v>2906</v>
      </c>
      <c r="V401" s="21" t="s">
        <v>2069</v>
      </c>
      <c r="W401" s="21"/>
      <c r="X401" s="174"/>
      <c r="Y401" s="193"/>
    </row>
    <row r="402" spans="1:25" x14ac:dyDescent="0.3">
      <c r="A402" s="171"/>
      <c r="B402" s="171"/>
      <c r="C402" s="171"/>
      <c r="D402" s="16" t="s">
        <v>2036</v>
      </c>
      <c r="E402" s="25">
        <v>64</v>
      </c>
      <c r="F402" s="31">
        <f>SUM(P400:P407)/E402</f>
        <v>0.53125</v>
      </c>
      <c r="G402" s="25">
        <v>240</v>
      </c>
      <c r="H402" s="31">
        <f>SUM(Q400:Q407)/G402</f>
        <v>0.71666666666666667</v>
      </c>
      <c r="I402" s="30" t="s">
        <v>1771</v>
      </c>
      <c r="J402" s="21"/>
      <c r="K402" s="9" t="s">
        <v>2030</v>
      </c>
      <c r="L402" s="9"/>
      <c r="M402" s="21"/>
      <c r="N402" s="171"/>
      <c r="O402" s="21"/>
      <c r="P402" s="15">
        <v>4</v>
      </c>
      <c r="Q402" s="15">
        <v>16</v>
      </c>
      <c r="R402" s="15">
        <v>40</v>
      </c>
      <c r="S402" s="10"/>
      <c r="T402" s="9"/>
      <c r="U402" s="21" t="s">
        <v>2907</v>
      </c>
      <c r="V402" s="21" t="s">
        <v>2197</v>
      </c>
      <c r="W402" s="21"/>
      <c r="X402" s="174"/>
      <c r="Y402" s="193"/>
    </row>
    <row r="403" spans="1:25" x14ac:dyDescent="0.3">
      <c r="A403" s="171"/>
      <c r="B403" s="171"/>
      <c r="C403" s="171"/>
      <c r="D403" s="16" t="s">
        <v>2036</v>
      </c>
      <c r="E403" s="25"/>
      <c r="F403" s="31"/>
      <c r="G403" s="25"/>
      <c r="H403" s="31"/>
      <c r="I403" s="30" t="s">
        <v>2908</v>
      </c>
      <c r="J403" s="21"/>
      <c r="K403" s="9" t="s">
        <v>125</v>
      </c>
      <c r="L403" s="9"/>
      <c r="M403" s="21"/>
      <c r="N403" s="171"/>
      <c r="O403" s="21"/>
      <c r="P403" s="15">
        <v>2</v>
      </c>
      <c r="Q403" s="15">
        <v>4</v>
      </c>
      <c r="R403" s="15">
        <v>30</v>
      </c>
      <c r="S403" s="10"/>
      <c r="T403" s="9"/>
      <c r="U403" s="21"/>
      <c r="V403" s="21"/>
      <c r="W403" s="21"/>
      <c r="X403" s="174"/>
      <c r="Y403" s="193"/>
    </row>
    <row r="404" spans="1:25" x14ac:dyDescent="0.3">
      <c r="A404" s="171"/>
      <c r="B404" s="171"/>
      <c r="C404" s="171"/>
      <c r="D404" s="16" t="s">
        <v>2036</v>
      </c>
      <c r="E404" s="25"/>
      <c r="F404" s="25"/>
      <c r="G404" s="25"/>
      <c r="H404" s="25"/>
      <c r="I404" s="30" t="s">
        <v>1785</v>
      </c>
      <c r="J404" s="21"/>
      <c r="K404" s="9" t="s">
        <v>2030</v>
      </c>
      <c r="L404" s="9"/>
      <c r="M404" s="21"/>
      <c r="N404" s="171"/>
      <c r="O404" s="21"/>
      <c r="P404" s="15">
        <v>4</v>
      </c>
      <c r="Q404" s="15">
        <v>8</v>
      </c>
      <c r="R404" s="15">
        <v>80</v>
      </c>
      <c r="S404" s="10"/>
      <c r="T404" s="9"/>
      <c r="U404" s="21" t="s">
        <v>2909</v>
      </c>
      <c r="V404" s="21" t="s">
        <v>2127</v>
      </c>
      <c r="W404" s="21"/>
      <c r="X404" s="174"/>
      <c r="Y404" s="193"/>
    </row>
    <row r="405" spans="1:25" x14ac:dyDescent="0.3">
      <c r="A405" s="171"/>
      <c r="B405" s="171"/>
      <c r="C405" s="171"/>
      <c r="D405" s="16" t="s">
        <v>2036</v>
      </c>
      <c r="E405" s="25"/>
      <c r="F405" s="25"/>
      <c r="G405" s="25"/>
      <c r="H405" s="25"/>
      <c r="I405" s="30" t="s">
        <v>1821</v>
      </c>
      <c r="J405" s="21"/>
      <c r="K405" s="9" t="s">
        <v>2030</v>
      </c>
      <c r="L405" s="9"/>
      <c r="M405" s="21"/>
      <c r="N405" s="171"/>
      <c r="O405" s="21"/>
      <c r="P405" s="15">
        <v>4</v>
      </c>
      <c r="Q405" s="15">
        <v>16</v>
      </c>
      <c r="R405" s="15">
        <v>40</v>
      </c>
      <c r="S405" s="10"/>
      <c r="T405" s="9"/>
      <c r="U405" s="21" t="s">
        <v>2910</v>
      </c>
      <c r="V405" s="21" t="s">
        <v>2072</v>
      </c>
      <c r="W405" s="21"/>
      <c r="X405" s="174"/>
      <c r="Y405" s="193"/>
    </row>
    <row r="406" spans="1:25" x14ac:dyDescent="0.3">
      <c r="A406" s="171"/>
      <c r="B406" s="171"/>
      <c r="C406" s="171"/>
      <c r="D406" s="16" t="s">
        <v>2036</v>
      </c>
      <c r="E406" s="25"/>
      <c r="F406" s="25"/>
      <c r="G406" s="25"/>
      <c r="H406" s="25"/>
      <c r="I406" s="30" t="s">
        <v>1805</v>
      </c>
      <c r="J406" s="21"/>
      <c r="K406" s="9" t="s">
        <v>2030</v>
      </c>
      <c r="L406" s="9"/>
      <c r="M406" s="21"/>
      <c r="N406" s="171"/>
      <c r="O406" s="21"/>
      <c r="P406" s="15">
        <v>8</v>
      </c>
      <c r="Q406" s="15">
        <v>48</v>
      </c>
      <c r="R406" s="15">
        <v>80</v>
      </c>
      <c r="S406" s="10"/>
      <c r="T406" s="9"/>
      <c r="U406" s="21" t="s">
        <v>2911</v>
      </c>
      <c r="V406" s="21" t="s">
        <v>2133</v>
      </c>
      <c r="W406" s="21"/>
      <c r="X406" s="174"/>
      <c r="Y406" s="193"/>
    </row>
    <row r="407" spans="1:25" x14ac:dyDescent="0.3">
      <c r="A407" s="171"/>
      <c r="B407" s="172"/>
      <c r="C407" s="171"/>
      <c r="D407" s="16" t="s">
        <v>2036</v>
      </c>
      <c r="E407" s="23"/>
      <c r="F407" s="23"/>
      <c r="G407" s="23"/>
      <c r="H407" s="23"/>
      <c r="I407" s="30" t="s">
        <v>2912</v>
      </c>
      <c r="J407" s="21"/>
      <c r="K407" s="9" t="s">
        <v>2030</v>
      </c>
      <c r="L407" s="9"/>
      <c r="M407" s="21"/>
      <c r="N407" s="171"/>
      <c r="O407" s="21"/>
      <c r="P407" s="15">
        <v>4</v>
      </c>
      <c r="Q407" s="15">
        <v>16</v>
      </c>
      <c r="R407" s="15">
        <v>40</v>
      </c>
      <c r="S407" s="10"/>
      <c r="T407" s="9"/>
      <c r="U407" s="21" t="s">
        <v>2913</v>
      </c>
      <c r="V407" s="21" t="s">
        <v>2144</v>
      </c>
      <c r="W407" s="21"/>
      <c r="X407" s="175"/>
      <c r="Y407" s="194"/>
    </row>
    <row r="408" spans="1:25" x14ac:dyDescent="0.3">
      <c r="A408" s="171"/>
      <c r="B408" s="170" t="s">
        <v>2914</v>
      </c>
      <c r="C408" s="171"/>
      <c r="D408" s="20" t="s">
        <v>2041</v>
      </c>
      <c r="E408" s="20"/>
      <c r="F408" s="20"/>
      <c r="G408" s="20"/>
      <c r="H408" s="20"/>
      <c r="I408" s="15"/>
      <c r="J408" s="21"/>
      <c r="K408" s="9" t="s">
        <v>2030</v>
      </c>
      <c r="L408" s="9"/>
      <c r="M408" s="21" t="s">
        <v>1526</v>
      </c>
      <c r="N408" s="171"/>
      <c r="O408" s="21"/>
      <c r="P408" s="15"/>
      <c r="Q408" s="15"/>
      <c r="R408" s="15"/>
      <c r="S408" s="10"/>
      <c r="T408" s="9"/>
      <c r="U408" s="21" t="s">
        <v>2915</v>
      </c>
      <c r="V408" s="21"/>
      <c r="W408" s="21"/>
      <c r="X408" s="173"/>
      <c r="Y408" s="192"/>
    </row>
    <row r="409" spans="1:25" ht="75" x14ac:dyDescent="0.3">
      <c r="A409" s="171"/>
      <c r="B409" s="171"/>
      <c r="C409" s="171"/>
      <c r="D409" s="16" t="s">
        <v>2036</v>
      </c>
      <c r="E409" s="25"/>
      <c r="F409" s="25"/>
      <c r="G409" s="25"/>
      <c r="H409" s="25"/>
      <c r="I409" s="15" t="s">
        <v>2037</v>
      </c>
      <c r="J409" s="21"/>
      <c r="K409" s="9" t="s">
        <v>2030</v>
      </c>
      <c r="L409" s="9"/>
      <c r="M409" s="21"/>
      <c r="N409" s="171"/>
      <c r="O409" s="21"/>
      <c r="P409" s="15">
        <v>1</v>
      </c>
      <c r="Q409" s="15">
        <v>0.128</v>
      </c>
      <c r="R409" s="15">
        <v>8</v>
      </c>
      <c r="S409" s="10"/>
      <c r="T409" s="9"/>
      <c r="U409" s="21"/>
      <c r="V409" s="21"/>
      <c r="W409" s="21"/>
      <c r="X409" s="174"/>
      <c r="Y409" s="193"/>
    </row>
    <row r="410" spans="1:25" x14ac:dyDescent="0.3">
      <c r="A410" s="171"/>
      <c r="B410" s="171"/>
      <c r="C410" s="171"/>
      <c r="D410" s="16" t="s">
        <v>2036</v>
      </c>
      <c r="E410" s="25">
        <v>64</v>
      </c>
      <c r="F410" s="31">
        <f>SUM(P409:P416)/E410</f>
        <v>0.546875</v>
      </c>
      <c r="G410" s="25">
        <v>240</v>
      </c>
      <c r="H410" s="31">
        <f>SUM(Q409:Q416)/G410</f>
        <v>0.9005333333333333</v>
      </c>
      <c r="I410" s="30" t="s">
        <v>2916</v>
      </c>
      <c r="J410" s="21"/>
      <c r="K410" s="9" t="s">
        <v>2030</v>
      </c>
      <c r="L410" s="9"/>
      <c r="M410" s="21"/>
      <c r="N410" s="171"/>
      <c r="O410" s="21"/>
      <c r="P410" s="15">
        <v>4</v>
      </c>
      <c r="Q410" s="15">
        <v>32</v>
      </c>
      <c r="R410" s="15">
        <v>40</v>
      </c>
      <c r="S410" s="10"/>
      <c r="T410" s="9"/>
      <c r="U410" s="21" t="s">
        <v>2917</v>
      </c>
      <c r="V410" s="21" t="s">
        <v>2101</v>
      </c>
      <c r="W410" s="21"/>
      <c r="X410" s="174"/>
      <c r="Y410" s="193"/>
    </row>
    <row r="411" spans="1:25" x14ac:dyDescent="0.3">
      <c r="A411" s="171"/>
      <c r="B411" s="171"/>
      <c r="C411" s="171"/>
      <c r="D411" s="16" t="s">
        <v>2036</v>
      </c>
      <c r="E411" s="25"/>
      <c r="F411" s="25"/>
      <c r="G411" s="25"/>
      <c r="H411" s="25"/>
      <c r="I411" s="30" t="s">
        <v>2918</v>
      </c>
      <c r="J411" s="21"/>
      <c r="K411" s="9" t="s">
        <v>2030</v>
      </c>
      <c r="L411" s="9"/>
      <c r="M411" s="21"/>
      <c r="N411" s="171"/>
      <c r="O411" s="21"/>
      <c r="P411" s="15">
        <v>4</v>
      </c>
      <c r="Q411" s="15">
        <v>32</v>
      </c>
      <c r="R411" s="15">
        <v>40</v>
      </c>
      <c r="S411" s="10"/>
      <c r="T411" s="9"/>
      <c r="U411" s="21" t="s">
        <v>2919</v>
      </c>
      <c r="V411" s="21" t="s">
        <v>2154</v>
      </c>
      <c r="W411" s="21"/>
      <c r="X411" s="174"/>
      <c r="Y411" s="193"/>
    </row>
    <row r="412" spans="1:25" x14ac:dyDescent="0.3">
      <c r="A412" s="171"/>
      <c r="B412" s="171"/>
      <c r="C412" s="171"/>
      <c r="D412" s="16" t="s">
        <v>2036</v>
      </c>
      <c r="E412" s="25"/>
      <c r="F412" s="25"/>
      <c r="G412" s="25"/>
      <c r="H412" s="25"/>
      <c r="I412" s="30" t="s">
        <v>2920</v>
      </c>
      <c r="J412" s="21"/>
      <c r="K412" s="9" t="s">
        <v>2030</v>
      </c>
      <c r="L412" s="9"/>
      <c r="M412" s="21"/>
      <c r="N412" s="171"/>
      <c r="O412" s="21"/>
      <c r="P412" s="15">
        <v>2</v>
      </c>
      <c r="Q412" s="15">
        <v>8</v>
      </c>
      <c r="R412" s="15">
        <v>80</v>
      </c>
      <c r="S412" s="10"/>
      <c r="T412" s="9"/>
      <c r="U412" s="21" t="s">
        <v>2921</v>
      </c>
      <c r="V412" s="21" t="s">
        <v>2176</v>
      </c>
      <c r="W412" s="21"/>
      <c r="X412" s="174"/>
      <c r="Y412" s="193"/>
    </row>
    <row r="413" spans="1:25" x14ac:dyDescent="0.3">
      <c r="A413" s="171"/>
      <c r="B413" s="171"/>
      <c r="C413" s="171"/>
      <c r="D413" s="16" t="s">
        <v>2036</v>
      </c>
      <c r="E413" s="25"/>
      <c r="F413" s="25"/>
      <c r="G413" s="25"/>
      <c r="H413" s="25"/>
      <c r="I413" s="30" t="s">
        <v>1819</v>
      </c>
      <c r="J413" s="21"/>
      <c r="K413" s="9" t="s">
        <v>2030</v>
      </c>
      <c r="L413" s="9"/>
      <c r="M413" s="21"/>
      <c r="N413" s="171"/>
      <c r="O413" s="21"/>
      <c r="P413" s="15">
        <v>4</v>
      </c>
      <c r="Q413" s="15">
        <v>16</v>
      </c>
      <c r="R413" s="15">
        <v>40</v>
      </c>
      <c r="S413" s="10"/>
      <c r="T413" s="9"/>
      <c r="U413" s="21" t="s">
        <v>2922</v>
      </c>
      <c r="V413" s="21" t="s">
        <v>2182</v>
      </c>
      <c r="W413" s="21"/>
      <c r="X413" s="174"/>
      <c r="Y413" s="193"/>
    </row>
    <row r="414" spans="1:25" x14ac:dyDescent="0.3">
      <c r="A414" s="171"/>
      <c r="B414" s="171"/>
      <c r="C414" s="171"/>
      <c r="D414" s="16" t="s">
        <v>2036</v>
      </c>
      <c r="E414" s="25"/>
      <c r="F414" s="25"/>
      <c r="G414" s="25"/>
      <c r="H414" s="25"/>
      <c r="I414" s="30" t="s">
        <v>1803</v>
      </c>
      <c r="J414" s="21"/>
      <c r="K414" s="9" t="s">
        <v>2030</v>
      </c>
      <c r="L414" s="9"/>
      <c r="M414" s="21"/>
      <c r="N414" s="171"/>
      <c r="O414" s="21"/>
      <c r="P414" s="15">
        <v>8</v>
      </c>
      <c r="Q414" s="15">
        <v>48</v>
      </c>
      <c r="R414" s="15">
        <v>80</v>
      </c>
      <c r="S414" s="10"/>
      <c r="T414" s="9"/>
      <c r="U414" s="21" t="s">
        <v>2923</v>
      </c>
      <c r="V414" s="21" t="s">
        <v>2203</v>
      </c>
      <c r="W414" s="21"/>
      <c r="X414" s="174"/>
      <c r="Y414" s="193"/>
    </row>
    <row r="415" spans="1:25" x14ac:dyDescent="0.3">
      <c r="A415" s="171"/>
      <c r="B415" s="171"/>
      <c r="C415" s="171"/>
      <c r="D415" s="16" t="s">
        <v>2036</v>
      </c>
      <c r="E415" s="25"/>
      <c r="F415" s="25"/>
      <c r="G415" s="25"/>
      <c r="H415" s="25"/>
      <c r="I415" s="30" t="s">
        <v>1813</v>
      </c>
      <c r="J415" s="21"/>
      <c r="K415" s="9" t="s">
        <v>2030</v>
      </c>
      <c r="L415" s="9"/>
      <c r="M415" s="21"/>
      <c r="N415" s="171"/>
      <c r="O415" s="21"/>
      <c r="P415" s="15">
        <v>8</v>
      </c>
      <c r="Q415" s="15">
        <v>48</v>
      </c>
      <c r="R415" s="15">
        <v>80</v>
      </c>
      <c r="S415" s="10"/>
      <c r="T415" s="9"/>
      <c r="U415" s="21" t="s">
        <v>2924</v>
      </c>
      <c r="V415" s="21" t="s">
        <v>2075</v>
      </c>
      <c r="W415" s="21"/>
      <c r="X415" s="174"/>
      <c r="Y415" s="193"/>
    </row>
    <row r="416" spans="1:25" x14ac:dyDescent="0.3">
      <c r="A416" s="171"/>
      <c r="B416" s="172"/>
      <c r="C416" s="171"/>
      <c r="D416" s="16" t="s">
        <v>2036</v>
      </c>
      <c r="E416" s="23"/>
      <c r="F416" s="23"/>
      <c r="G416" s="23"/>
      <c r="H416" s="23"/>
      <c r="I416" s="30" t="s">
        <v>2925</v>
      </c>
      <c r="J416" s="21"/>
      <c r="K416" s="9" t="s">
        <v>2030</v>
      </c>
      <c r="L416" s="9"/>
      <c r="M416" s="21"/>
      <c r="N416" s="171"/>
      <c r="O416" s="21"/>
      <c r="P416" s="15">
        <v>4</v>
      </c>
      <c r="Q416" s="15">
        <v>32</v>
      </c>
      <c r="R416" s="15">
        <v>40</v>
      </c>
      <c r="S416" s="10"/>
      <c r="T416" s="9"/>
      <c r="U416" s="21" t="s">
        <v>2926</v>
      </c>
      <c r="V416" s="21" t="s">
        <v>2124</v>
      </c>
      <c r="W416" s="21"/>
      <c r="X416" s="175"/>
      <c r="Y416" s="194"/>
    </row>
    <row r="417" spans="1:25" x14ac:dyDescent="0.3">
      <c r="A417" s="171"/>
      <c r="B417" s="170" t="s">
        <v>2927</v>
      </c>
      <c r="C417" s="171"/>
      <c r="D417" s="20" t="s">
        <v>2041</v>
      </c>
      <c r="E417" s="20"/>
      <c r="F417" s="20"/>
      <c r="G417" s="20"/>
      <c r="H417" s="20"/>
      <c r="I417" s="15"/>
      <c r="J417" s="21"/>
      <c r="K417" s="9" t="s">
        <v>2030</v>
      </c>
      <c r="L417" s="9"/>
      <c r="M417" s="21" t="s">
        <v>1526</v>
      </c>
      <c r="N417" s="171"/>
      <c r="O417" s="21"/>
      <c r="P417" s="15"/>
      <c r="Q417" s="15"/>
      <c r="R417" s="15"/>
      <c r="S417" s="10"/>
      <c r="T417" s="9"/>
      <c r="U417" s="21" t="s">
        <v>2928</v>
      </c>
      <c r="V417" s="21"/>
      <c r="W417" s="21"/>
      <c r="X417" s="173"/>
      <c r="Y417" s="192"/>
    </row>
    <row r="418" spans="1:25" x14ac:dyDescent="0.3">
      <c r="A418" s="171"/>
      <c r="B418" s="171"/>
      <c r="C418" s="171"/>
      <c r="D418" s="16" t="s">
        <v>2036</v>
      </c>
      <c r="E418" s="25"/>
      <c r="F418" s="25"/>
      <c r="G418" s="25"/>
      <c r="H418" s="25"/>
      <c r="I418" s="30" t="s">
        <v>2929</v>
      </c>
      <c r="J418" s="21"/>
      <c r="K418" s="9" t="s">
        <v>2030</v>
      </c>
      <c r="L418" s="9"/>
      <c r="M418" s="21"/>
      <c r="N418" s="171"/>
      <c r="O418" s="21"/>
      <c r="P418" s="15">
        <v>8</v>
      </c>
      <c r="Q418" s="15">
        <v>48</v>
      </c>
      <c r="R418" s="15">
        <v>40</v>
      </c>
      <c r="S418" s="10"/>
      <c r="T418" s="9"/>
      <c r="U418" s="21" t="s">
        <v>2930</v>
      </c>
      <c r="V418" s="21" t="s">
        <v>2931</v>
      </c>
      <c r="W418" s="21"/>
      <c r="X418" s="174"/>
      <c r="Y418" s="193"/>
    </row>
    <row r="419" spans="1:25" x14ac:dyDescent="0.3">
      <c r="A419" s="171"/>
      <c r="B419" s="171"/>
      <c r="C419" s="171"/>
      <c r="D419" s="16" t="s">
        <v>2036</v>
      </c>
      <c r="E419" s="25">
        <v>64</v>
      </c>
      <c r="F419" s="31">
        <f>SUM(P418:P422)/E419</f>
        <v>0.5</v>
      </c>
      <c r="G419" s="25">
        <v>240</v>
      </c>
      <c r="H419" s="31">
        <f>SUM(Q418:Q422)/G419</f>
        <v>0.73333333333333328</v>
      </c>
      <c r="I419" s="30" t="s">
        <v>1773</v>
      </c>
      <c r="J419" s="21"/>
      <c r="K419" s="9" t="s">
        <v>2030</v>
      </c>
      <c r="L419" s="9"/>
      <c r="M419" s="21"/>
      <c r="N419" s="171"/>
      <c r="O419" s="21"/>
      <c r="P419" s="15">
        <v>4</v>
      </c>
      <c r="Q419" s="15">
        <v>16</v>
      </c>
      <c r="R419" s="15">
        <v>40</v>
      </c>
      <c r="S419" s="10"/>
      <c r="T419" s="9"/>
      <c r="U419" s="21" t="s">
        <v>2932</v>
      </c>
      <c r="V419" s="21" t="s">
        <v>2173</v>
      </c>
      <c r="W419" s="21"/>
      <c r="X419" s="174"/>
      <c r="Y419" s="193"/>
    </row>
    <row r="420" spans="1:25" x14ac:dyDescent="0.3">
      <c r="A420" s="171"/>
      <c r="B420" s="171"/>
      <c r="C420" s="171"/>
      <c r="D420" s="16" t="s">
        <v>2036</v>
      </c>
      <c r="E420" s="25"/>
      <c r="F420" s="25"/>
      <c r="G420" s="25"/>
      <c r="H420" s="25"/>
      <c r="I420" s="30" t="s">
        <v>1817</v>
      </c>
      <c r="J420" s="21"/>
      <c r="K420" s="9" t="s">
        <v>2030</v>
      </c>
      <c r="L420" s="9"/>
      <c r="M420" s="21"/>
      <c r="N420" s="171"/>
      <c r="O420" s="21"/>
      <c r="P420" s="15">
        <v>4</v>
      </c>
      <c r="Q420" s="15">
        <v>16</v>
      </c>
      <c r="R420" s="15">
        <v>40</v>
      </c>
      <c r="S420" s="10"/>
      <c r="T420" s="9"/>
      <c r="U420" s="21" t="s">
        <v>2933</v>
      </c>
      <c r="V420" s="21" t="s">
        <v>2130</v>
      </c>
      <c r="W420" s="21"/>
      <c r="X420" s="174"/>
      <c r="Y420" s="193"/>
    </row>
    <row r="421" spans="1:25" x14ac:dyDescent="0.3">
      <c r="A421" s="171"/>
      <c r="B421" s="171"/>
      <c r="C421" s="171"/>
      <c r="D421" s="16" t="s">
        <v>2036</v>
      </c>
      <c r="E421" s="25"/>
      <c r="F421" s="25"/>
      <c r="G421" s="25"/>
      <c r="H421" s="25"/>
      <c r="I421" s="30" t="s">
        <v>1801</v>
      </c>
      <c r="J421" s="21"/>
      <c r="K421" s="9" t="s">
        <v>2030</v>
      </c>
      <c r="L421" s="9"/>
      <c r="M421" s="21"/>
      <c r="N421" s="171"/>
      <c r="O421" s="21"/>
      <c r="P421" s="15">
        <v>8</v>
      </c>
      <c r="Q421" s="15">
        <v>48</v>
      </c>
      <c r="R421" s="15">
        <v>80</v>
      </c>
      <c r="S421" s="10"/>
      <c r="T421" s="9"/>
      <c r="U421" s="21" t="s">
        <v>2934</v>
      </c>
      <c r="V421" s="21" t="s">
        <v>2185</v>
      </c>
      <c r="W421" s="21"/>
      <c r="X421" s="174"/>
      <c r="Y421" s="193"/>
    </row>
    <row r="422" spans="1:25" x14ac:dyDescent="0.3">
      <c r="A422" s="171"/>
      <c r="B422" s="172"/>
      <c r="C422" s="171"/>
      <c r="D422" s="16" t="s">
        <v>2036</v>
      </c>
      <c r="E422" s="23"/>
      <c r="F422" s="23"/>
      <c r="G422" s="23"/>
      <c r="H422" s="23"/>
      <c r="I422" s="30" t="s">
        <v>1811</v>
      </c>
      <c r="J422" s="21"/>
      <c r="K422" s="9" t="s">
        <v>2030</v>
      </c>
      <c r="L422" s="9"/>
      <c r="M422" s="21"/>
      <c r="N422" s="171"/>
      <c r="O422" s="21"/>
      <c r="P422" s="15">
        <v>8</v>
      </c>
      <c r="Q422" s="15">
        <v>48</v>
      </c>
      <c r="R422" s="15">
        <v>80</v>
      </c>
      <c r="S422" s="10"/>
      <c r="T422" s="9"/>
      <c r="U422" s="21" t="s">
        <v>2935</v>
      </c>
      <c r="V422" s="21" t="s">
        <v>2094</v>
      </c>
      <c r="W422" s="21"/>
      <c r="X422" s="175"/>
      <c r="Y422" s="194"/>
    </row>
    <row r="423" spans="1:25" x14ac:dyDescent="0.3">
      <c r="A423" s="171"/>
      <c r="B423" s="170" t="s">
        <v>2936</v>
      </c>
      <c r="C423" s="171"/>
      <c r="D423" s="20" t="s">
        <v>2041</v>
      </c>
      <c r="E423" s="20"/>
      <c r="F423" s="20"/>
      <c r="G423" s="20"/>
      <c r="H423" s="20"/>
      <c r="I423" s="15"/>
      <c r="J423" s="21"/>
      <c r="K423" s="9" t="s">
        <v>2030</v>
      </c>
      <c r="L423" s="9"/>
      <c r="M423" s="21" t="s">
        <v>1526</v>
      </c>
      <c r="N423" s="171"/>
      <c r="O423" s="21"/>
      <c r="P423" s="15"/>
      <c r="Q423" s="15"/>
      <c r="R423" s="15"/>
      <c r="S423" s="10"/>
      <c r="T423" s="9"/>
      <c r="U423" s="21" t="s">
        <v>2937</v>
      </c>
      <c r="V423" s="21"/>
      <c r="W423" s="21"/>
      <c r="X423" s="173"/>
      <c r="Y423" s="192"/>
    </row>
    <row r="424" spans="1:25" x14ac:dyDescent="0.3">
      <c r="A424" s="171"/>
      <c r="B424" s="171"/>
      <c r="C424" s="171"/>
      <c r="D424" s="16" t="s">
        <v>2036</v>
      </c>
      <c r="E424" s="25"/>
      <c r="F424" s="25"/>
      <c r="G424" s="25"/>
      <c r="H424" s="25"/>
      <c r="I424" s="30" t="s">
        <v>2880</v>
      </c>
      <c r="J424" s="21"/>
      <c r="K424" s="9" t="s">
        <v>2030</v>
      </c>
      <c r="L424" s="9"/>
      <c r="M424" s="21"/>
      <c r="N424" s="171"/>
      <c r="O424" s="21"/>
      <c r="P424" s="15">
        <v>8</v>
      </c>
      <c r="Q424" s="15">
        <v>48</v>
      </c>
      <c r="R424" s="15">
        <v>40</v>
      </c>
      <c r="S424" s="10"/>
      <c r="T424" s="9"/>
      <c r="U424" s="21" t="s">
        <v>2938</v>
      </c>
      <c r="V424" s="21" t="s">
        <v>2066</v>
      </c>
      <c r="W424" s="21"/>
      <c r="X424" s="174"/>
      <c r="Y424" s="193"/>
    </row>
    <row r="425" spans="1:25" x14ac:dyDescent="0.3">
      <c r="A425" s="171"/>
      <c r="B425" s="171"/>
      <c r="C425" s="171"/>
      <c r="D425" s="16" t="s">
        <v>2036</v>
      </c>
      <c r="E425" s="25"/>
      <c r="F425" s="25"/>
      <c r="G425" s="25"/>
      <c r="H425" s="25"/>
      <c r="I425" s="30" t="s">
        <v>2939</v>
      </c>
      <c r="J425" s="21"/>
      <c r="K425" s="9" t="s">
        <v>2030</v>
      </c>
      <c r="L425" s="9"/>
      <c r="M425" s="21"/>
      <c r="N425" s="171"/>
      <c r="O425" s="21"/>
      <c r="P425" s="15">
        <v>4</v>
      </c>
      <c r="Q425" s="15">
        <v>32</v>
      </c>
      <c r="R425" s="15">
        <v>40</v>
      </c>
      <c r="S425" s="10"/>
      <c r="T425" s="9"/>
      <c r="U425" s="21" t="s">
        <v>2940</v>
      </c>
      <c r="V425" s="21" t="s">
        <v>2170</v>
      </c>
      <c r="W425" s="21"/>
      <c r="X425" s="174"/>
      <c r="Y425" s="193"/>
    </row>
    <row r="426" spans="1:25" x14ac:dyDescent="0.3">
      <c r="A426" s="171"/>
      <c r="B426" s="171"/>
      <c r="C426" s="171"/>
      <c r="D426" s="16" t="s">
        <v>2036</v>
      </c>
      <c r="E426" s="25">
        <v>64</v>
      </c>
      <c r="F426" s="31">
        <f>SUM(P424:P429)/E426</f>
        <v>0.53125</v>
      </c>
      <c r="G426" s="25">
        <v>240</v>
      </c>
      <c r="H426" s="31">
        <f>SUM(Q424:Q429)/G426</f>
        <v>0.80833333333333335</v>
      </c>
      <c r="I426" s="30" t="s">
        <v>1815</v>
      </c>
      <c r="J426" s="21"/>
      <c r="K426" s="9" t="s">
        <v>2030</v>
      </c>
      <c r="L426" s="9"/>
      <c r="M426" s="21"/>
      <c r="N426" s="171"/>
      <c r="O426" s="21"/>
      <c r="P426" s="15">
        <v>4</v>
      </c>
      <c r="Q426" s="15">
        <v>16</v>
      </c>
      <c r="R426" s="15">
        <v>40</v>
      </c>
      <c r="S426" s="10"/>
      <c r="T426" s="9"/>
      <c r="U426" s="21" t="s">
        <v>2941</v>
      </c>
      <c r="V426" s="21" t="s">
        <v>2157</v>
      </c>
      <c r="W426" s="21"/>
      <c r="X426" s="174"/>
      <c r="Y426" s="193"/>
    </row>
    <row r="427" spans="1:25" x14ac:dyDescent="0.3">
      <c r="A427" s="171"/>
      <c r="B427" s="171"/>
      <c r="C427" s="171"/>
      <c r="D427" s="16" t="s">
        <v>2036</v>
      </c>
      <c r="E427" s="25"/>
      <c r="F427" s="25"/>
      <c r="G427" s="25"/>
      <c r="H427" s="25"/>
      <c r="I427" s="30" t="s">
        <v>1799</v>
      </c>
      <c r="J427" s="21"/>
      <c r="K427" s="9" t="s">
        <v>2030</v>
      </c>
      <c r="L427" s="9"/>
      <c r="M427" s="21"/>
      <c r="N427" s="171"/>
      <c r="O427" s="21"/>
      <c r="P427" s="15">
        <v>8</v>
      </c>
      <c r="Q427" s="15">
        <v>48</v>
      </c>
      <c r="R427" s="15">
        <v>80</v>
      </c>
      <c r="S427" s="10"/>
      <c r="T427" s="9"/>
      <c r="U427" s="21" t="s">
        <v>2942</v>
      </c>
      <c r="V427" s="21" t="s">
        <v>2110</v>
      </c>
      <c r="W427" s="21"/>
      <c r="X427" s="174"/>
      <c r="Y427" s="193"/>
    </row>
    <row r="428" spans="1:25" x14ac:dyDescent="0.3">
      <c r="A428" s="171"/>
      <c r="B428" s="171"/>
      <c r="C428" s="171"/>
      <c r="D428" s="16" t="s">
        <v>2036</v>
      </c>
      <c r="E428" s="25"/>
      <c r="F428" s="25"/>
      <c r="G428" s="25"/>
      <c r="H428" s="25"/>
      <c r="I428" s="30" t="s">
        <v>2943</v>
      </c>
      <c r="J428" s="21"/>
      <c r="K428" s="9" t="s">
        <v>2030</v>
      </c>
      <c r="L428" s="9"/>
      <c r="M428" s="21"/>
      <c r="N428" s="171"/>
      <c r="O428" s="21"/>
      <c r="P428" s="15">
        <v>8</v>
      </c>
      <c r="Q428" s="15">
        <v>48</v>
      </c>
      <c r="R428" s="15">
        <v>80</v>
      </c>
      <c r="S428" s="10"/>
      <c r="T428" s="9"/>
      <c r="U428" s="21" t="s">
        <v>2944</v>
      </c>
      <c r="V428" s="21" t="s">
        <v>2945</v>
      </c>
      <c r="W428" s="21"/>
      <c r="X428" s="174"/>
      <c r="Y428" s="193"/>
    </row>
    <row r="429" spans="1:25" x14ac:dyDescent="0.3">
      <c r="A429" s="172"/>
      <c r="B429" s="172"/>
      <c r="C429" s="172"/>
      <c r="D429" s="16" t="s">
        <v>2036</v>
      </c>
      <c r="E429" s="23"/>
      <c r="F429" s="23"/>
      <c r="G429" s="23"/>
      <c r="H429" s="23"/>
      <c r="I429" s="30" t="s">
        <v>909</v>
      </c>
      <c r="J429" s="21"/>
      <c r="K429" s="9" t="s">
        <v>2030</v>
      </c>
      <c r="L429" s="9"/>
      <c r="M429" s="21"/>
      <c r="N429" s="171"/>
      <c r="O429" s="21"/>
      <c r="P429" s="15">
        <v>2</v>
      </c>
      <c r="Q429" s="15">
        <v>2</v>
      </c>
      <c r="R429" s="15">
        <v>40</v>
      </c>
      <c r="S429" s="10"/>
      <c r="T429" s="9"/>
      <c r="U429" s="21" t="s">
        <v>2946</v>
      </c>
      <c r="V429" s="21" t="s">
        <v>2947</v>
      </c>
      <c r="W429" s="21"/>
      <c r="X429" s="175"/>
      <c r="Y429" s="194"/>
    </row>
    <row r="430" spans="1:25" x14ac:dyDescent="0.3">
      <c r="A430" s="170" t="s">
        <v>2026</v>
      </c>
      <c r="B430" s="170" t="s">
        <v>2948</v>
      </c>
      <c r="C430" s="170" t="s">
        <v>2949</v>
      </c>
      <c r="D430" s="20" t="s">
        <v>2041</v>
      </c>
      <c r="E430" s="20"/>
      <c r="F430" s="20"/>
      <c r="G430" s="20"/>
      <c r="H430" s="20"/>
      <c r="I430" s="15"/>
      <c r="J430" s="21"/>
      <c r="K430" s="9" t="s">
        <v>2030</v>
      </c>
      <c r="L430" s="9"/>
      <c r="M430" s="21" t="s">
        <v>1526</v>
      </c>
      <c r="N430" s="171"/>
      <c r="O430" s="21"/>
      <c r="P430" s="15"/>
      <c r="Q430" s="15"/>
      <c r="R430" s="15"/>
      <c r="S430" s="10"/>
      <c r="T430" s="9"/>
      <c r="U430" s="21" t="s">
        <v>2950</v>
      </c>
      <c r="V430" s="21"/>
      <c r="W430" s="21"/>
      <c r="X430" s="173"/>
      <c r="Y430" s="192"/>
    </row>
    <row r="431" spans="1:25" x14ac:dyDescent="0.3">
      <c r="A431" s="171"/>
      <c r="B431" s="171"/>
      <c r="C431" s="171"/>
      <c r="D431" s="16" t="s">
        <v>2036</v>
      </c>
      <c r="E431" s="25"/>
      <c r="F431" s="25"/>
      <c r="G431" s="25"/>
      <c r="H431" s="25"/>
      <c r="I431" s="30" t="s">
        <v>1718</v>
      </c>
      <c r="J431" s="21"/>
      <c r="K431" s="9" t="s">
        <v>2030</v>
      </c>
      <c r="L431" s="9"/>
      <c r="M431" s="21"/>
      <c r="N431" s="171"/>
      <c r="O431" s="21"/>
      <c r="P431" s="15">
        <v>4</v>
      </c>
      <c r="Q431" s="15">
        <v>16</v>
      </c>
      <c r="R431" s="15">
        <v>40</v>
      </c>
      <c r="S431" s="10"/>
      <c r="T431" s="9"/>
      <c r="U431" s="21" t="s">
        <v>2951</v>
      </c>
      <c r="V431" s="21" t="s">
        <v>2275</v>
      </c>
      <c r="W431" s="21"/>
      <c r="X431" s="174"/>
      <c r="Y431" s="193"/>
    </row>
    <row r="432" spans="1:25" x14ac:dyDescent="0.3">
      <c r="A432" s="171"/>
      <c r="B432" s="171"/>
      <c r="C432" s="171"/>
      <c r="D432" s="16" t="s">
        <v>2036</v>
      </c>
      <c r="E432" s="25">
        <v>24</v>
      </c>
      <c r="F432" s="31">
        <f>SUM(P431:P434)/E432</f>
        <v>0.41666666666666669</v>
      </c>
      <c r="G432" s="25">
        <v>96</v>
      </c>
      <c r="H432" s="31">
        <f>SUM(Q431:Q434)/G432</f>
        <v>0.35416666666666669</v>
      </c>
      <c r="I432" s="30" t="s">
        <v>2952</v>
      </c>
      <c r="J432" s="21"/>
      <c r="K432" s="9" t="s">
        <v>2030</v>
      </c>
      <c r="L432" s="9"/>
      <c r="M432" s="21"/>
      <c r="N432" s="171"/>
      <c r="O432" s="21"/>
      <c r="P432" s="15">
        <v>4</v>
      </c>
      <c r="Q432" s="15">
        <v>16</v>
      </c>
      <c r="R432" s="15">
        <v>40</v>
      </c>
      <c r="S432" s="10"/>
      <c r="T432" s="9"/>
      <c r="U432" s="21" t="s">
        <v>2953</v>
      </c>
      <c r="V432" s="21" t="s">
        <v>2262</v>
      </c>
      <c r="W432" s="21"/>
      <c r="X432" s="174"/>
      <c r="Y432" s="193"/>
    </row>
    <row r="433" spans="1:25" ht="30" x14ac:dyDescent="0.3">
      <c r="A433" s="171"/>
      <c r="B433" s="171"/>
      <c r="C433" s="171"/>
      <c r="D433" s="16" t="s">
        <v>2036</v>
      </c>
      <c r="E433" s="25"/>
      <c r="F433" s="25"/>
      <c r="G433" s="25"/>
      <c r="H433" s="25"/>
      <c r="I433" s="15" t="s">
        <v>2954</v>
      </c>
      <c r="J433" s="21"/>
      <c r="K433" s="9"/>
      <c r="L433" s="9"/>
      <c r="M433" s="21"/>
      <c r="N433" s="171"/>
      <c r="O433" s="21"/>
      <c r="P433" s="15">
        <v>2</v>
      </c>
      <c r="Q433" s="15">
        <v>2</v>
      </c>
      <c r="R433" s="15">
        <v>40</v>
      </c>
      <c r="S433" s="10"/>
      <c r="T433" s="9"/>
      <c r="U433" s="21"/>
      <c r="V433" s="21" t="s">
        <v>2955</v>
      </c>
      <c r="W433" s="21"/>
      <c r="X433" s="174"/>
      <c r="Y433" s="193"/>
    </row>
    <row r="434" spans="1:25" x14ac:dyDescent="0.3">
      <c r="A434" s="171"/>
      <c r="B434" s="172"/>
      <c r="C434" s="171"/>
      <c r="D434" s="16" t="s">
        <v>2036</v>
      </c>
      <c r="E434" s="23"/>
      <c r="F434" s="23"/>
      <c r="G434" s="23"/>
      <c r="H434" s="23"/>
      <c r="I434" s="15"/>
      <c r="J434" s="21"/>
      <c r="K434" s="9"/>
      <c r="L434" s="9"/>
      <c r="M434" s="21"/>
      <c r="N434" s="171"/>
      <c r="O434" s="21"/>
      <c r="P434" s="15"/>
      <c r="Q434" s="15"/>
      <c r="R434" s="15"/>
      <c r="S434" s="10"/>
      <c r="T434" s="9"/>
      <c r="U434" s="21"/>
      <c r="V434" s="21"/>
      <c r="W434" s="21"/>
      <c r="X434" s="175"/>
      <c r="Y434" s="194"/>
    </row>
    <row r="435" spans="1:25" x14ac:dyDescent="0.3">
      <c r="A435" s="171"/>
      <c r="B435" s="170" t="s">
        <v>2956</v>
      </c>
      <c r="C435" s="171"/>
      <c r="D435" s="20" t="s">
        <v>2041</v>
      </c>
      <c r="E435" s="20"/>
      <c r="F435" s="20"/>
      <c r="G435" s="20"/>
      <c r="H435" s="20"/>
      <c r="I435" s="15"/>
      <c r="J435" s="21"/>
      <c r="K435" s="9" t="s">
        <v>2030</v>
      </c>
      <c r="L435" s="9"/>
      <c r="M435" s="21" t="s">
        <v>1526</v>
      </c>
      <c r="N435" s="171"/>
      <c r="O435" s="21"/>
      <c r="P435" s="15"/>
      <c r="Q435" s="15"/>
      <c r="R435" s="15"/>
      <c r="S435" s="10"/>
      <c r="T435" s="9"/>
      <c r="U435" s="21" t="s">
        <v>2957</v>
      </c>
      <c r="V435" s="21"/>
      <c r="W435" s="21"/>
      <c r="X435" s="173"/>
      <c r="Y435" s="192"/>
    </row>
    <row r="436" spans="1:25" x14ac:dyDescent="0.3">
      <c r="A436" s="171"/>
      <c r="B436" s="171"/>
      <c r="C436" s="171"/>
      <c r="D436" s="16" t="s">
        <v>2036</v>
      </c>
      <c r="E436" s="25"/>
      <c r="F436" s="25"/>
      <c r="G436" s="25"/>
      <c r="H436" s="25"/>
      <c r="I436" s="30" t="s">
        <v>1712</v>
      </c>
      <c r="J436" s="21"/>
      <c r="K436" s="9" t="s">
        <v>2030</v>
      </c>
      <c r="L436" s="9"/>
      <c r="M436" s="21"/>
      <c r="N436" s="171"/>
      <c r="O436" s="21"/>
      <c r="P436" s="15">
        <v>4</v>
      </c>
      <c r="Q436" s="15">
        <v>16</v>
      </c>
      <c r="R436" s="15">
        <v>40</v>
      </c>
      <c r="S436" s="10"/>
      <c r="T436" s="9"/>
      <c r="U436" s="21" t="s">
        <v>2958</v>
      </c>
      <c r="V436" s="21" t="s">
        <v>2272</v>
      </c>
      <c r="W436" s="21"/>
      <c r="X436" s="174"/>
      <c r="Y436" s="193"/>
    </row>
    <row r="437" spans="1:25" x14ac:dyDescent="0.3">
      <c r="A437" s="171"/>
      <c r="B437" s="171"/>
      <c r="C437" s="171"/>
      <c r="D437" s="16" t="s">
        <v>2036</v>
      </c>
      <c r="E437" s="25">
        <v>24</v>
      </c>
      <c r="F437" s="31">
        <f>SUM(P436:P439)/E437</f>
        <v>0.58333333333333337</v>
      </c>
      <c r="G437" s="25">
        <v>96</v>
      </c>
      <c r="H437" s="31">
        <f>SUM(Q436:Q439)/G437</f>
        <v>0.54166666666666663</v>
      </c>
      <c r="I437" s="30" t="s">
        <v>2959</v>
      </c>
      <c r="J437" s="21"/>
      <c r="K437" s="9" t="s">
        <v>2030</v>
      </c>
      <c r="L437" s="9"/>
      <c r="M437" s="21"/>
      <c r="N437" s="171"/>
      <c r="O437" s="21"/>
      <c r="P437" s="15">
        <v>4</v>
      </c>
      <c r="Q437" s="15">
        <v>16</v>
      </c>
      <c r="R437" s="15">
        <v>40</v>
      </c>
      <c r="S437" s="10"/>
      <c r="T437" s="9"/>
      <c r="U437" s="21" t="s">
        <v>2960</v>
      </c>
      <c r="V437" s="21" t="s">
        <v>2319</v>
      </c>
      <c r="W437" s="21"/>
      <c r="X437" s="174"/>
      <c r="Y437" s="193"/>
    </row>
    <row r="438" spans="1:25" x14ac:dyDescent="0.3">
      <c r="A438" s="171"/>
      <c r="B438" s="171"/>
      <c r="C438" s="171"/>
      <c r="D438" s="16" t="s">
        <v>2036</v>
      </c>
      <c r="E438" s="25"/>
      <c r="F438" s="25"/>
      <c r="G438" s="25"/>
      <c r="H438" s="25"/>
      <c r="I438" s="30" t="s">
        <v>2961</v>
      </c>
      <c r="J438" s="21"/>
      <c r="K438" s="9" t="s">
        <v>2030</v>
      </c>
      <c r="L438" s="9"/>
      <c r="M438" s="21"/>
      <c r="N438" s="171"/>
      <c r="O438" s="21"/>
      <c r="P438" s="15">
        <v>4</v>
      </c>
      <c r="Q438" s="15">
        <v>16</v>
      </c>
      <c r="R438" s="15">
        <v>40</v>
      </c>
      <c r="S438" s="10"/>
      <c r="T438" s="9"/>
      <c r="U438" s="21" t="s">
        <v>2962</v>
      </c>
      <c r="V438" s="21" t="s">
        <v>2316</v>
      </c>
      <c r="W438" s="21"/>
      <c r="X438" s="174"/>
      <c r="Y438" s="193"/>
    </row>
    <row r="439" spans="1:25" ht="30" x14ac:dyDescent="0.3">
      <c r="A439" s="171"/>
      <c r="B439" s="172"/>
      <c r="C439" s="171"/>
      <c r="D439" s="16" t="s">
        <v>2036</v>
      </c>
      <c r="E439" s="23"/>
      <c r="F439" s="23"/>
      <c r="G439" s="23"/>
      <c r="H439" s="23"/>
      <c r="I439" s="15" t="s">
        <v>2963</v>
      </c>
      <c r="J439" s="21"/>
      <c r="K439" s="9" t="s">
        <v>2287</v>
      </c>
      <c r="L439" s="9"/>
      <c r="M439" s="21"/>
      <c r="N439" s="171"/>
      <c r="O439" s="21"/>
      <c r="P439" s="15">
        <v>2</v>
      </c>
      <c r="Q439" s="15">
        <v>4</v>
      </c>
      <c r="R439" s="15"/>
      <c r="S439" s="10"/>
      <c r="T439" s="9"/>
      <c r="U439" s="21" t="s">
        <v>2964</v>
      </c>
      <c r="V439" s="21" t="s">
        <v>2965</v>
      </c>
      <c r="W439" s="21"/>
      <c r="X439" s="175"/>
      <c r="Y439" s="194"/>
    </row>
    <row r="440" spans="1:25" x14ac:dyDescent="0.3">
      <c r="A440" s="171"/>
      <c r="B440" s="170" t="s">
        <v>2966</v>
      </c>
      <c r="C440" s="171"/>
      <c r="D440" s="20" t="s">
        <v>2041</v>
      </c>
      <c r="E440" s="20"/>
      <c r="F440" s="20"/>
      <c r="G440" s="20"/>
      <c r="H440" s="20"/>
      <c r="I440" s="15"/>
      <c r="J440" s="21"/>
      <c r="K440" s="9" t="s">
        <v>2030</v>
      </c>
      <c r="L440" s="9"/>
      <c r="M440" s="21" t="s">
        <v>1526</v>
      </c>
      <c r="N440" s="171"/>
      <c r="O440" s="21"/>
      <c r="P440" s="15"/>
      <c r="Q440" s="15"/>
      <c r="R440" s="15"/>
      <c r="S440" s="10"/>
      <c r="T440" s="9"/>
      <c r="U440" s="21" t="s">
        <v>2967</v>
      </c>
      <c r="V440" s="21"/>
      <c r="W440" s="21"/>
      <c r="X440" s="173"/>
      <c r="Y440" s="192"/>
    </row>
    <row r="441" spans="1:25" x14ac:dyDescent="0.3">
      <c r="A441" s="171"/>
      <c r="B441" s="171"/>
      <c r="C441" s="171"/>
      <c r="D441" s="16" t="s">
        <v>2036</v>
      </c>
      <c r="E441" s="25"/>
      <c r="F441" s="25"/>
      <c r="G441" s="25"/>
      <c r="H441" s="25"/>
      <c r="I441" s="30" t="s">
        <v>1714</v>
      </c>
      <c r="J441" s="21"/>
      <c r="K441" s="9" t="s">
        <v>2030</v>
      </c>
      <c r="L441" s="9"/>
      <c r="M441" s="21"/>
      <c r="N441" s="171"/>
      <c r="O441" s="21"/>
      <c r="P441" s="15">
        <v>4</v>
      </c>
      <c r="Q441" s="15">
        <v>16</v>
      </c>
      <c r="R441" s="15">
        <v>40</v>
      </c>
      <c r="S441" s="10"/>
      <c r="T441" s="9"/>
      <c r="U441" s="21" t="s">
        <v>2968</v>
      </c>
      <c r="V441" s="21" t="s">
        <v>2256</v>
      </c>
      <c r="W441" s="21"/>
      <c r="X441" s="174"/>
      <c r="Y441" s="193"/>
    </row>
    <row r="442" spans="1:25" x14ac:dyDescent="0.3">
      <c r="A442" s="171"/>
      <c r="B442" s="171"/>
      <c r="C442" s="171"/>
      <c r="D442" s="16" t="s">
        <v>2036</v>
      </c>
      <c r="E442" s="25"/>
      <c r="F442" s="25"/>
      <c r="G442" s="25"/>
      <c r="H442" s="25"/>
      <c r="I442" s="30" t="s">
        <v>2969</v>
      </c>
      <c r="J442" s="21"/>
      <c r="K442" s="9" t="s">
        <v>2030</v>
      </c>
      <c r="L442" s="9"/>
      <c r="M442" s="21"/>
      <c r="N442" s="171"/>
      <c r="O442" s="21"/>
      <c r="P442" s="15">
        <v>4</v>
      </c>
      <c r="Q442" s="15">
        <v>16</v>
      </c>
      <c r="R442" s="15">
        <v>40</v>
      </c>
      <c r="S442" s="10"/>
      <c r="T442" s="9"/>
      <c r="U442" s="21" t="s">
        <v>2970</v>
      </c>
      <c r="V442" s="21" t="s">
        <v>2238</v>
      </c>
      <c r="W442" s="21"/>
      <c r="X442" s="174"/>
      <c r="Y442" s="193"/>
    </row>
    <row r="443" spans="1:25" x14ac:dyDescent="0.3">
      <c r="A443" s="171"/>
      <c r="B443" s="171"/>
      <c r="C443" s="171"/>
      <c r="D443" s="16" t="s">
        <v>2036</v>
      </c>
      <c r="E443" s="25">
        <v>24</v>
      </c>
      <c r="F443" s="31">
        <f>SUM(P441:P446)/E443</f>
        <v>1.0833333333333333</v>
      </c>
      <c r="G443" s="25">
        <v>96</v>
      </c>
      <c r="H443" s="31">
        <f>SUM(Q441:Q446)/G443</f>
        <v>0.70833333333333337</v>
      </c>
      <c r="I443" s="30" t="s">
        <v>2971</v>
      </c>
      <c r="J443" s="21"/>
      <c r="K443" s="9" t="s">
        <v>2030</v>
      </c>
      <c r="L443" s="9"/>
      <c r="M443" s="21"/>
      <c r="N443" s="171"/>
      <c r="O443" s="21"/>
      <c r="P443" s="15">
        <v>4</v>
      </c>
      <c r="Q443" s="15">
        <v>8</v>
      </c>
      <c r="R443" s="15">
        <v>40</v>
      </c>
      <c r="S443" s="10"/>
      <c r="T443" s="9"/>
      <c r="U443" s="21" t="s">
        <v>2972</v>
      </c>
      <c r="V443" s="21" t="s">
        <v>2253</v>
      </c>
      <c r="W443" s="21"/>
      <c r="X443" s="174"/>
      <c r="Y443" s="193"/>
    </row>
    <row r="444" spans="1:25" x14ac:dyDescent="0.3">
      <c r="A444" s="171"/>
      <c r="B444" s="171"/>
      <c r="C444" s="171"/>
      <c r="D444" s="16" t="s">
        <v>2036</v>
      </c>
      <c r="E444" s="25"/>
      <c r="F444" s="25"/>
      <c r="G444" s="25"/>
      <c r="H444" s="25"/>
      <c r="I444" s="30" t="s">
        <v>2973</v>
      </c>
      <c r="J444" s="21"/>
      <c r="K444" s="9" t="s">
        <v>2030</v>
      </c>
      <c r="L444" s="9"/>
      <c r="M444" s="21"/>
      <c r="N444" s="171"/>
      <c r="O444" s="21"/>
      <c r="P444" s="15">
        <v>4</v>
      </c>
      <c r="Q444" s="15">
        <v>8</v>
      </c>
      <c r="R444" s="15">
        <v>40</v>
      </c>
      <c r="S444" s="10"/>
      <c r="T444" s="9"/>
      <c r="U444" s="21" t="s">
        <v>2974</v>
      </c>
      <c r="V444" s="21" t="s">
        <v>2310</v>
      </c>
      <c r="W444" s="21"/>
      <c r="X444" s="174"/>
      <c r="Y444" s="193"/>
    </row>
    <row r="445" spans="1:25" x14ac:dyDescent="0.3">
      <c r="A445" s="171"/>
      <c r="B445" s="171"/>
      <c r="C445" s="171"/>
      <c r="D445" s="16" t="s">
        <v>2036</v>
      </c>
      <c r="E445" s="25"/>
      <c r="F445" s="25"/>
      <c r="G445" s="25"/>
      <c r="H445" s="25"/>
      <c r="I445" s="30" t="s">
        <v>2975</v>
      </c>
      <c r="J445" s="21"/>
      <c r="K445" s="9" t="s">
        <v>2030</v>
      </c>
      <c r="L445" s="9"/>
      <c r="M445" s="21"/>
      <c r="N445" s="171"/>
      <c r="O445" s="21"/>
      <c r="P445" s="15">
        <v>8</v>
      </c>
      <c r="Q445" s="15">
        <v>16</v>
      </c>
      <c r="R445" s="15">
        <v>40</v>
      </c>
      <c r="S445" s="10"/>
      <c r="T445" s="9"/>
      <c r="U445" s="21" t="s">
        <v>2976</v>
      </c>
      <c r="V445" s="21" t="s">
        <v>2334</v>
      </c>
      <c r="W445" s="21"/>
      <c r="X445" s="174"/>
      <c r="Y445" s="193"/>
    </row>
    <row r="446" spans="1:25" ht="30" x14ac:dyDescent="0.3">
      <c r="A446" s="171"/>
      <c r="B446" s="172"/>
      <c r="C446" s="171"/>
      <c r="D446" s="16" t="s">
        <v>2036</v>
      </c>
      <c r="E446" s="23"/>
      <c r="F446" s="23"/>
      <c r="G446" s="23"/>
      <c r="H446" s="23"/>
      <c r="I446" s="15" t="s">
        <v>2977</v>
      </c>
      <c r="J446" s="21"/>
      <c r="K446" s="9" t="s">
        <v>2287</v>
      </c>
      <c r="L446" s="9"/>
      <c r="M446" s="21"/>
      <c r="N446" s="171"/>
      <c r="O446" s="21"/>
      <c r="P446" s="15">
        <v>2</v>
      </c>
      <c r="Q446" s="15">
        <v>4</v>
      </c>
      <c r="R446" s="15"/>
      <c r="S446" s="10"/>
      <c r="T446" s="9"/>
      <c r="U446" s="21" t="s">
        <v>2978</v>
      </c>
      <c r="V446" s="21" t="s">
        <v>2289</v>
      </c>
      <c r="W446" s="21"/>
      <c r="X446" s="175"/>
      <c r="Y446" s="194"/>
    </row>
    <row r="447" spans="1:25" x14ac:dyDescent="0.3">
      <c r="A447" s="171"/>
      <c r="B447" s="170" t="s">
        <v>2979</v>
      </c>
      <c r="C447" s="171"/>
      <c r="D447" s="20" t="s">
        <v>2041</v>
      </c>
      <c r="E447" s="20"/>
      <c r="F447" s="20"/>
      <c r="G447" s="20"/>
      <c r="H447" s="20"/>
      <c r="I447" s="15"/>
      <c r="J447" s="21"/>
      <c r="K447" s="9" t="s">
        <v>2030</v>
      </c>
      <c r="L447" s="9"/>
      <c r="M447" s="21" t="s">
        <v>1526</v>
      </c>
      <c r="N447" s="171"/>
      <c r="O447" s="21"/>
      <c r="P447" s="15"/>
      <c r="Q447" s="15"/>
      <c r="R447" s="15"/>
      <c r="S447" s="10"/>
      <c r="T447" s="9"/>
      <c r="U447" s="21" t="s">
        <v>2980</v>
      </c>
      <c r="V447" s="21"/>
      <c r="W447" s="21"/>
      <c r="X447" s="173"/>
      <c r="Y447" s="192"/>
    </row>
    <row r="448" spans="1:25" x14ac:dyDescent="0.3">
      <c r="A448" s="171"/>
      <c r="B448" s="171"/>
      <c r="C448" s="171"/>
      <c r="D448" s="16" t="s">
        <v>2036</v>
      </c>
      <c r="E448" s="25"/>
      <c r="F448" s="25"/>
      <c r="G448" s="25"/>
      <c r="H448" s="25"/>
      <c r="I448" s="30" t="s">
        <v>1716</v>
      </c>
      <c r="J448" s="21"/>
      <c r="K448" s="9" t="s">
        <v>2030</v>
      </c>
      <c r="L448" s="9"/>
      <c r="M448" s="21"/>
      <c r="N448" s="171"/>
      <c r="O448" s="21"/>
      <c r="P448" s="15">
        <v>4</v>
      </c>
      <c r="Q448" s="15">
        <v>16</v>
      </c>
      <c r="R448" s="15">
        <v>40</v>
      </c>
      <c r="S448" s="10"/>
      <c r="T448" s="9"/>
      <c r="U448" s="21" t="s">
        <v>2981</v>
      </c>
      <c r="V448" s="21" t="s">
        <v>2259</v>
      </c>
      <c r="W448" s="21"/>
      <c r="X448" s="174"/>
      <c r="Y448" s="193"/>
    </row>
    <row r="449" spans="1:25" x14ac:dyDescent="0.3">
      <c r="A449" s="171"/>
      <c r="B449" s="171"/>
      <c r="C449" s="171"/>
      <c r="D449" s="16" t="s">
        <v>2036</v>
      </c>
      <c r="E449" s="25"/>
      <c r="F449" s="25"/>
      <c r="G449" s="25"/>
      <c r="H449" s="25"/>
      <c r="I449" s="30" t="s">
        <v>2982</v>
      </c>
      <c r="J449" s="21"/>
      <c r="K449" s="9" t="s">
        <v>2030</v>
      </c>
      <c r="L449" s="9"/>
      <c r="M449" s="21"/>
      <c r="N449" s="171"/>
      <c r="O449" s="21"/>
      <c r="P449" s="15">
        <v>4</v>
      </c>
      <c r="Q449" s="15">
        <v>16</v>
      </c>
      <c r="R449" s="15">
        <v>40</v>
      </c>
      <c r="S449" s="10"/>
      <c r="T449" s="9"/>
      <c r="U449" s="21" t="s">
        <v>2983</v>
      </c>
      <c r="V449" s="21" t="s">
        <v>2278</v>
      </c>
      <c r="W449" s="21"/>
      <c r="X449" s="174"/>
      <c r="Y449" s="193"/>
    </row>
    <row r="450" spans="1:25" x14ac:dyDescent="0.3">
      <c r="A450" s="171"/>
      <c r="B450" s="171"/>
      <c r="C450" s="171"/>
      <c r="D450" s="16" t="s">
        <v>2036</v>
      </c>
      <c r="E450" s="25">
        <v>24</v>
      </c>
      <c r="F450" s="31">
        <f>SUM(P448:P453)/E450</f>
        <v>0.91666666666666663</v>
      </c>
      <c r="G450" s="25">
        <v>96</v>
      </c>
      <c r="H450" s="31">
        <f>SUM(Q448:Q453)/G450</f>
        <v>0.625</v>
      </c>
      <c r="I450" s="30" t="s">
        <v>2984</v>
      </c>
      <c r="J450" s="21"/>
      <c r="K450" s="9" t="s">
        <v>2030</v>
      </c>
      <c r="L450" s="9"/>
      <c r="M450" s="21"/>
      <c r="N450" s="171"/>
      <c r="O450" s="21"/>
      <c r="P450" s="15">
        <v>4</v>
      </c>
      <c r="Q450" s="15">
        <v>4</v>
      </c>
      <c r="R450" s="15">
        <v>40</v>
      </c>
      <c r="S450" s="10"/>
      <c r="T450" s="9"/>
      <c r="U450" s="21" t="s">
        <v>2985</v>
      </c>
      <c r="V450" s="21" t="s">
        <v>2986</v>
      </c>
      <c r="W450" s="21"/>
      <c r="X450" s="174"/>
      <c r="Y450" s="193"/>
    </row>
    <row r="451" spans="1:25" x14ac:dyDescent="0.3">
      <c r="A451" s="171"/>
      <c r="B451" s="171"/>
      <c r="C451" s="171"/>
      <c r="D451" s="16" t="s">
        <v>2036</v>
      </c>
      <c r="E451" s="25"/>
      <c r="F451" s="25"/>
      <c r="G451" s="25"/>
      <c r="H451" s="25"/>
      <c r="I451" s="30" t="s">
        <v>2987</v>
      </c>
      <c r="J451" s="21"/>
      <c r="K451" s="9" t="s">
        <v>2030</v>
      </c>
      <c r="L451" s="9"/>
      <c r="M451" s="21"/>
      <c r="N451" s="171"/>
      <c r="O451" s="21"/>
      <c r="P451" s="15">
        <v>4</v>
      </c>
      <c r="Q451" s="15">
        <v>4</v>
      </c>
      <c r="R451" s="15">
        <v>40</v>
      </c>
      <c r="S451" s="10"/>
      <c r="T451" s="9"/>
      <c r="U451" s="21" t="s">
        <v>2988</v>
      </c>
      <c r="V451" s="21" t="s">
        <v>2313</v>
      </c>
      <c r="W451" s="21"/>
      <c r="X451" s="174"/>
      <c r="Y451" s="193"/>
    </row>
    <row r="452" spans="1:25" ht="30" x14ac:dyDescent="0.3">
      <c r="A452" s="171"/>
      <c r="B452" s="171"/>
      <c r="C452" s="171"/>
      <c r="D452" s="16" t="s">
        <v>2036</v>
      </c>
      <c r="E452" s="25"/>
      <c r="F452" s="25"/>
      <c r="G452" s="25"/>
      <c r="H452" s="25"/>
      <c r="I452" s="15" t="s">
        <v>2989</v>
      </c>
      <c r="J452" s="21"/>
      <c r="K452" s="9" t="s">
        <v>2030</v>
      </c>
      <c r="L452" s="9"/>
      <c r="M452" s="21"/>
      <c r="N452" s="171"/>
      <c r="O452" s="21"/>
      <c r="P452" s="15">
        <v>4</v>
      </c>
      <c r="Q452" s="15">
        <v>16</v>
      </c>
      <c r="R452" s="15">
        <v>40</v>
      </c>
      <c r="S452" s="10"/>
      <c r="T452" s="9"/>
      <c r="U452" s="21" t="s">
        <v>2990</v>
      </c>
      <c r="V452" s="21" t="s">
        <v>2991</v>
      </c>
      <c r="W452" s="21"/>
      <c r="X452" s="174"/>
      <c r="Y452" s="193"/>
    </row>
    <row r="453" spans="1:25" ht="30" x14ac:dyDescent="0.3">
      <c r="A453" s="171"/>
      <c r="B453" s="172"/>
      <c r="C453" s="171"/>
      <c r="D453" s="16" t="s">
        <v>2036</v>
      </c>
      <c r="E453" s="23"/>
      <c r="F453" s="23"/>
      <c r="G453" s="23"/>
      <c r="H453" s="23"/>
      <c r="I453" s="15" t="s">
        <v>2992</v>
      </c>
      <c r="J453" s="21"/>
      <c r="K453" s="9" t="s">
        <v>2287</v>
      </c>
      <c r="L453" s="9"/>
      <c r="M453" s="21"/>
      <c r="N453" s="171"/>
      <c r="O453" s="21"/>
      <c r="P453" s="15">
        <v>2</v>
      </c>
      <c r="Q453" s="15">
        <v>4</v>
      </c>
      <c r="R453" s="15"/>
      <c r="S453" s="10"/>
      <c r="T453" s="9"/>
      <c r="U453" s="21" t="s">
        <v>2993</v>
      </c>
      <c r="V453" s="21" t="s">
        <v>2994</v>
      </c>
      <c r="W453" s="21"/>
      <c r="X453" s="175"/>
      <c r="Y453" s="194"/>
    </row>
    <row r="454" spans="1:25" x14ac:dyDescent="0.3">
      <c r="A454" s="171"/>
      <c r="B454" s="170" t="s">
        <v>2995</v>
      </c>
      <c r="C454" s="171"/>
      <c r="D454" s="20" t="s">
        <v>2041</v>
      </c>
      <c r="E454" s="20"/>
      <c r="F454" s="20"/>
      <c r="G454" s="25"/>
      <c r="H454" s="20"/>
      <c r="I454" s="15"/>
      <c r="J454" s="21"/>
      <c r="K454" s="9" t="s">
        <v>2030</v>
      </c>
      <c r="L454" s="9"/>
      <c r="M454" s="21" t="s">
        <v>1526</v>
      </c>
      <c r="N454" s="171"/>
      <c r="O454" s="21"/>
      <c r="P454" s="15"/>
      <c r="Q454" s="15"/>
      <c r="R454" s="15"/>
      <c r="S454" s="10"/>
      <c r="T454" s="9"/>
      <c r="U454" s="21" t="s">
        <v>2996</v>
      </c>
      <c r="V454" s="21"/>
      <c r="W454" s="21"/>
      <c r="X454" s="173"/>
      <c r="Y454" s="192"/>
    </row>
    <row r="455" spans="1:25" ht="30" x14ac:dyDescent="0.3">
      <c r="A455" s="171"/>
      <c r="B455" s="171"/>
      <c r="C455" s="171"/>
      <c r="D455" s="16" t="s">
        <v>2036</v>
      </c>
      <c r="E455" s="25"/>
      <c r="F455" s="25"/>
      <c r="G455" s="25"/>
      <c r="H455" s="25"/>
      <c r="I455" s="29" t="s">
        <v>2997</v>
      </c>
      <c r="J455" s="21"/>
      <c r="K455" s="9" t="s">
        <v>2030</v>
      </c>
      <c r="L455" s="9"/>
      <c r="M455" s="21"/>
      <c r="N455" s="171"/>
      <c r="O455" s="21"/>
      <c r="P455" s="15">
        <v>4</v>
      </c>
      <c r="Q455" s="15">
        <v>16</v>
      </c>
      <c r="R455" s="15">
        <v>40</v>
      </c>
      <c r="S455" s="10"/>
      <c r="T455" s="9"/>
      <c r="U455" s="21" t="s">
        <v>2998</v>
      </c>
      <c r="V455" s="21" t="s">
        <v>2999</v>
      </c>
      <c r="W455" s="21"/>
      <c r="X455" s="174"/>
      <c r="Y455" s="193"/>
    </row>
    <row r="456" spans="1:25" x14ac:dyDescent="0.3">
      <c r="A456" s="171"/>
      <c r="B456" s="171"/>
      <c r="C456" s="171"/>
      <c r="D456" s="16" t="s">
        <v>2036</v>
      </c>
      <c r="E456" s="25"/>
      <c r="F456" s="25"/>
      <c r="G456" s="25"/>
      <c r="H456" s="25"/>
      <c r="I456" s="30" t="s">
        <v>3000</v>
      </c>
      <c r="J456" s="21"/>
      <c r="K456" s="9" t="s">
        <v>2030</v>
      </c>
      <c r="L456" s="9"/>
      <c r="M456" s="21"/>
      <c r="N456" s="171"/>
      <c r="O456" s="21"/>
      <c r="P456" s="15">
        <v>4</v>
      </c>
      <c r="Q456" s="15">
        <v>8</v>
      </c>
      <c r="R456" s="15">
        <v>40</v>
      </c>
      <c r="S456" s="10"/>
      <c r="T456" s="9"/>
      <c r="U456" s="21" t="s">
        <v>3001</v>
      </c>
      <c r="V456" s="21" t="s">
        <v>2299</v>
      </c>
      <c r="W456" s="21"/>
      <c r="X456" s="174"/>
      <c r="Y456" s="193"/>
    </row>
    <row r="457" spans="1:25" x14ac:dyDescent="0.3">
      <c r="A457" s="171"/>
      <c r="B457" s="171"/>
      <c r="C457" s="171"/>
      <c r="D457" s="16" t="s">
        <v>2036</v>
      </c>
      <c r="E457" s="25">
        <v>24</v>
      </c>
      <c r="F457" s="31">
        <f>SUM(P455:P459)/E457</f>
        <v>0.75</v>
      </c>
      <c r="G457" s="25">
        <v>96</v>
      </c>
      <c r="H457" s="31">
        <f>SUM(Q455:Q459)/G457</f>
        <v>0.54166666666666663</v>
      </c>
      <c r="I457" s="30" t="s">
        <v>3002</v>
      </c>
      <c r="J457" s="21"/>
      <c r="K457" s="9" t="s">
        <v>2030</v>
      </c>
      <c r="L457" s="9"/>
      <c r="M457" s="21"/>
      <c r="N457" s="171"/>
      <c r="O457" s="21"/>
      <c r="P457" s="15">
        <v>4</v>
      </c>
      <c r="Q457" s="15">
        <v>8</v>
      </c>
      <c r="R457" s="15">
        <v>40</v>
      </c>
      <c r="S457" s="10"/>
      <c r="T457" s="9"/>
      <c r="U457" s="21" t="s">
        <v>3003</v>
      </c>
      <c r="V457" s="21" t="s">
        <v>2265</v>
      </c>
      <c r="W457" s="21"/>
      <c r="X457" s="174"/>
      <c r="Y457" s="193"/>
    </row>
    <row r="458" spans="1:25" ht="45" x14ac:dyDescent="0.3">
      <c r="A458" s="171"/>
      <c r="B458" s="171"/>
      <c r="C458" s="171"/>
      <c r="D458" s="16" t="s">
        <v>2036</v>
      </c>
      <c r="E458" s="25"/>
      <c r="F458" s="25"/>
      <c r="G458" s="25"/>
      <c r="H458" s="25"/>
      <c r="I458" s="15" t="s">
        <v>3004</v>
      </c>
      <c r="J458" s="21"/>
      <c r="K458" s="9" t="s">
        <v>2030</v>
      </c>
      <c r="L458" s="9"/>
      <c r="M458" s="21"/>
      <c r="N458" s="171"/>
      <c r="O458" s="21"/>
      <c r="P458" s="15">
        <v>4</v>
      </c>
      <c r="Q458" s="15">
        <v>16</v>
      </c>
      <c r="R458" s="15">
        <v>40</v>
      </c>
      <c r="S458" s="10"/>
      <c r="T458" s="9"/>
      <c r="U458" s="21"/>
      <c r="V458" s="21"/>
      <c r="W458" s="21"/>
      <c r="X458" s="174"/>
      <c r="Y458" s="193"/>
    </row>
    <row r="459" spans="1:25" ht="30" x14ac:dyDescent="0.3">
      <c r="A459" s="172"/>
      <c r="B459" s="172"/>
      <c r="C459" s="172"/>
      <c r="D459" s="16" t="s">
        <v>2036</v>
      </c>
      <c r="E459" s="23"/>
      <c r="F459" s="23"/>
      <c r="G459" s="25"/>
      <c r="H459" s="23"/>
      <c r="I459" s="15" t="s">
        <v>3005</v>
      </c>
      <c r="J459" s="21"/>
      <c r="K459" s="9" t="s">
        <v>2287</v>
      </c>
      <c r="L459" s="9"/>
      <c r="M459" s="21"/>
      <c r="N459" s="172"/>
      <c r="O459" s="21"/>
      <c r="P459" s="15">
        <v>2</v>
      </c>
      <c r="Q459" s="15">
        <v>4</v>
      </c>
      <c r="R459" s="15"/>
      <c r="S459" s="10"/>
      <c r="T459" s="9"/>
      <c r="U459" s="21" t="s">
        <v>3006</v>
      </c>
      <c r="V459" s="21" t="s">
        <v>3007</v>
      </c>
      <c r="W459" s="21"/>
      <c r="X459" s="175"/>
      <c r="Y459" s="194"/>
    </row>
    <row r="460" spans="1:25" x14ac:dyDescent="0.3">
      <c r="A460" s="170" t="s">
        <v>2026</v>
      </c>
      <c r="B460" s="170" t="s">
        <v>3008</v>
      </c>
      <c r="C460" s="170" t="s">
        <v>3009</v>
      </c>
      <c r="D460" s="20" t="s">
        <v>2041</v>
      </c>
      <c r="E460" s="20"/>
      <c r="F460" s="20"/>
      <c r="G460" s="20"/>
      <c r="H460" s="20"/>
      <c r="I460" s="15"/>
      <c r="J460" s="21"/>
      <c r="K460" s="9" t="s">
        <v>2030</v>
      </c>
      <c r="L460" s="9"/>
      <c r="M460" s="21" t="s">
        <v>1526</v>
      </c>
      <c r="N460" s="170" t="s">
        <v>3010</v>
      </c>
      <c r="O460" s="21"/>
      <c r="P460" s="15"/>
      <c r="Q460" s="15"/>
      <c r="R460" s="15"/>
      <c r="S460" s="10"/>
      <c r="T460" s="9"/>
      <c r="U460" s="21" t="s">
        <v>3011</v>
      </c>
      <c r="V460" s="21"/>
      <c r="W460" s="21"/>
      <c r="X460" s="173"/>
      <c r="Y460" s="192"/>
    </row>
    <row r="461" spans="1:25" x14ac:dyDescent="0.3">
      <c r="A461" s="171"/>
      <c r="B461" s="171"/>
      <c r="C461" s="171"/>
      <c r="D461" s="16" t="s">
        <v>2036</v>
      </c>
      <c r="E461" s="25"/>
      <c r="F461" s="25"/>
      <c r="G461" s="25"/>
      <c r="H461" s="25"/>
      <c r="I461" s="30" t="s">
        <v>3012</v>
      </c>
      <c r="J461" s="21"/>
      <c r="K461" s="9" t="s">
        <v>2030</v>
      </c>
      <c r="L461" s="9"/>
      <c r="M461" s="21"/>
      <c r="N461" s="171"/>
      <c r="O461" s="21"/>
      <c r="P461" s="15">
        <v>4</v>
      </c>
      <c r="Q461" s="15">
        <v>16</v>
      </c>
      <c r="R461" s="15">
        <v>40</v>
      </c>
      <c r="S461" s="10"/>
      <c r="T461" s="9"/>
      <c r="U461" s="21" t="s">
        <v>3013</v>
      </c>
      <c r="V461" s="21" t="s">
        <v>3014</v>
      </c>
      <c r="W461" s="21"/>
      <c r="X461" s="174"/>
      <c r="Y461" s="193"/>
    </row>
    <row r="462" spans="1:25" x14ac:dyDescent="0.3">
      <c r="A462" s="171"/>
      <c r="B462" s="171"/>
      <c r="C462" s="171"/>
      <c r="D462" s="16" t="s">
        <v>2036</v>
      </c>
      <c r="E462" s="25">
        <v>24</v>
      </c>
      <c r="F462" s="31">
        <f>SUM(P461:P465)/E462</f>
        <v>0.5</v>
      </c>
      <c r="G462" s="25">
        <v>96</v>
      </c>
      <c r="H462" s="31">
        <f>SUM(Q461:Q465)/G462</f>
        <v>0.66666666666666663</v>
      </c>
      <c r="I462" s="30" t="s">
        <v>1928</v>
      </c>
      <c r="J462" s="21"/>
      <c r="K462" s="9" t="s">
        <v>2030</v>
      </c>
      <c r="L462" s="9"/>
      <c r="M462" s="21"/>
      <c r="N462" s="171"/>
      <c r="O462" s="21"/>
      <c r="P462" s="15">
        <v>2</v>
      </c>
      <c r="Q462" s="15">
        <v>8</v>
      </c>
      <c r="R462" s="15">
        <v>40</v>
      </c>
      <c r="S462" s="10"/>
      <c r="T462" s="9"/>
      <c r="U462" s="21" t="s">
        <v>3015</v>
      </c>
      <c r="V462" s="21" t="s">
        <v>3016</v>
      </c>
      <c r="W462" s="21"/>
      <c r="X462" s="174"/>
      <c r="Y462" s="193"/>
    </row>
    <row r="463" spans="1:25" x14ac:dyDescent="0.3">
      <c r="A463" s="171"/>
      <c r="B463" s="171"/>
      <c r="C463" s="171"/>
      <c r="D463" s="16" t="s">
        <v>2036</v>
      </c>
      <c r="E463" s="25"/>
      <c r="F463" s="25"/>
      <c r="G463" s="25"/>
      <c r="H463" s="25"/>
      <c r="I463" s="30" t="s">
        <v>1974</v>
      </c>
      <c r="J463" s="21"/>
      <c r="K463" s="9" t="s">
        <v>2030</v>
      </c>
      <c r="L463" s="9"/>
      <c r="M463" s="21"/>
      <c r="N463" s="171"/>
      <c r="O463" s="21"/>
      <c r="P463" s="15">
        <v>2</v>
      </c>
      <c r="Q463" s="15">
        <v>8</v>
      </c>
      <c r="R463" s="15">
        <v>40</v>
      </c>
      <c r="S463" s="10"/>
      <c r="T463" s="9"/>
      <c r="U463" s="21" t="s">
        <v>3017</v>
      </c>
      <c r="V463" s="21" t="s">
        <v>3018</v>
      </c>
      <c r="W463" s="21"/>
      <c r="X463" s="174"/>
      <c r="Y463" s="193"/>
    </row>
    <row r="464" spans="1:25" x14ac:dyDescent="0.3">
      <c r="A464" s="171"/>
      <c r="B464" s="171"/>
      <c r="C464" s="171"/>
      <c r="D464" s="16" t="s">
        <v>2036</v>
      </c>
      <c r="E464" s="25"/>
      <c r="F464" s="25"/>
      <c r="G464" s="25"/>
      <c r="H464" s="25"/>
      <c r="I464" s="30" t="s">
        <v>1934</v>
      </c>
      <c r="J464" s="21"/>
      <c r="K464" s="9" t="s">
        <v>2030</v>
      </c>
      <c r="L464" s="9"/>
      <c r="M464" s="21"/>
      <c r="N464" s="171"/>
      <c r="O464" s="21"/>
      <c r="P464" s="15">
        <v>2</v>
      </c>
      <c r="Q464" s="15">
        <v>16</v>
      </c>
      <c r="R464" s="15">
        <v>40</v>
      </c>
      <c r="S464" s="10"/>
      <c r="T464" s="9"/>
      <c r="U464" s="21" t="s">
        <v>3019</v>
      </c>
      <c r="V464" s="21" t="s">
        <v>3020</v>
      </c>
      <c r="W464" s="21"/>
      <c r="X464" s="174"/>
      <c r="Y464" s="193"/>
    </row>
    <row r="465" spans="1:25" x14ac:dyDescent="0.3">
      <c r="A465" s="171"/>
      <c r="B465" s="172"/>
      <c r="C465" s="171"/>
      <c r="D465" s="16" t="s">
        <v>2036</v>
      </c>
      <c r="E465" s="23"/>
      <c r="F465" s="23"/>
      <c r="G465" s="23"/>
      <c r="H465" s="23"/>
      <c r="I465" s="30" t="s">
        <v>3021</v>
      </c>
      <c r="J465" s="21"/>
      <c r="K465" s="9" t="s">
        <v>2030</v>
      </c>
      <c r="L465" s="9"/>
      <c r="M465" s="21"/>
      <c r="N465" s="171"/>
      <c r="O465" s="21"/>
      <c r="P465" s="15">
        <v>2</v>
      </c>
      <c r="Q465" s="15">
        <v>16</v>
      </c>
      <c r="R465" s="15">
        <v>40</v>
      </c>
      <c r="S465" s="10"/>
      <c r="T465" s="9"/>
      <c r="U465" s="21" t="s">
        <v>3022</v>
      </c>
      <c r="V465" s="21" t="s">
        <v>3023</v>
      </c>
      <c r="W465" s="21"/>
      <c r="X465" s="175"/>
      <c r="Y465" s="194"/>
    </row>
    <row r="466" spans="1:25" x14ac:dyDescent="0.3">
      <c r="A466" s="171"/>
      <c r="B466" s="170" t="s">
        <v>3024</v>
      </c>
      <c r="C466" s="171"/>
      <c r="D466" s="20" t="s">
        <v>2041</v>
      </c>
      <c r="E466" s="20"/>
      <c r="F466" s="20"/>
      <c r="G466" s="20"/>
      <c r="H466" s="20"/>
      <c r="I466" s="15"/>
      <c r="J466" s="21"/>
      <c r="K466" s="9" t="s">
        <v>2030</v>
      </c>
      <c r="L466" s="9"/>
      <c r="M466" s="21" t="s">
        <v>1526</v>
      </c>
      <c r="N466" s="171"/>
      <c r="O466" s="21"/>
      <c r="P466" s="15"/>
      <c r="Q466" s="15"/>
      <c r="R466" s="15"/>
      <c r="S466" s="10"/>
      <c r="T466" s="9"/>
      <c r="U466" s="21" t="s">
        <v>3025</v>
      </c>
      <c r="V466" s="21"/>
      <c r="W466" s="21"/>
      <c r="X466" s="173"/>
      <c r="Y466" s="192"/>
    </row>
    <row r="467" spans="1:25" x14ac:dyDescent="0.3">
      <c r="A467" s="171"/>
      <c r="B467" s="171"/>
      <c r="C467" s="171"/>
      <c r="D467" s="16" t="s">
        <v>2036</v>
      </c>
      <c r="E467" s="25"/>
      <c r="F467" s="25"/>
      <c r="G467" s="25"/>
      <c r="H467" s="25"/>
      <c r="I467" s="30" t="s">
        <v>1941</v>
      </c>
      <c r="J467" s="21"/>
      <c r="K467" s="9" t="s">
        <v>2030</v>
      </c>
      <c r="L467" s="9"/>
      <c r="M467" s="21"/>
      <c r="N467" s="171"/>
      <c r="O467" s="21"/>
      <c r="P467" s="15">
        <v>4</v>
      </c>
      <c r="Q467" s="15">
        <v>16</v>
      </c>
      <c r="R467" s="15">
        <v>40</v>
      </c>
      <c r="S467" s="10"/>
      <c r="T467" s="9"/>
      <c r="U467" s="21" t="s">
        <v>3026</v>
      </c>
      <c r="V467" s="21" t="s">
        <v>3027</v>
      </c>
      <c r="W467" s="21"/>
      <c r="X467" s="174"/>
      <c r="Y467" s="193"/>
    </row>
    <row r="468" spans="1:25" x14ac:dyDescent="0.3">
      <c r="A468" s="171"/>
      <c r="B468" s="171"/>
      <c r="C468" s="171"/>
      <c r="D468" s="16" t="s">
        <v>2036</v>
      </c>
      <c r="E468" s="25">
        <v>24</v>
      </c>
      <c r="F468" s="31">
        <f>SUM(P467:P471)/E468</f>
        <v>0.75</v>
      </c>
      <c r="G468" s="25">
        <v>96</v>
      </c>
      <c r="H468" s="31">
        <f>SUM(Q467:Q471)/G468</f>
        <v>0.58333333333333337</v>
      </c>
      <c r="I468" s="30" t="s">
        <v>1958</v>
      </c>
      <c r="J468" s="21"/>
      <c r="K468" s="9" t="s">
        <v>2030</v>
      </c>
      <c r="L468" s="9"/>
      <c r="M468" s="21"/>
      <c r="N468" s="171"/>
      <c r="O468" s="21"/>
      <c r="P468" s="15">
        <v>4</v>
      </c>
      <c r="Q468" s="15">
        <v>16</v>
      </c>
      <c r="R468" s="15">
        <v>40</v>
      </c>
      <c r="S468" s="10"/>
      <c r="T468" s="9"/>
      <c r="U468" s="21" t="s">
        <v>3028</v>
      </c>
      <c r="V468" s="21" t="s">
        <v>3029</v>
      </c>
      <c r="W468" s="21"/>
      <c r="X468" s="174"/>
      <c r="Y468" s="193"/>
    </row>
    <row r="469" spans="1:25" ht="30" x14ac:dyDescent="0.3">
      <c r="A469" s="171"/>
      <c r="B469" s="171"/>
      <c r="C469" s="171"/>
      <c r="D469" s="16" t="s">
        <v>2036</v>
      </c>
      <c r="E469" s="25"/>
      <c r="F469" s="25"/>
      <c r="G469" s="25"/>
      <c r="H469" s="25"/>
      <c r="I469" s="30" t="s">
        <v>1968</v>
      </c>
      <c r="J469" s="21"/>
      <c r="K469" s="9" t="s">
        <v>2030</v>
      </c>
      <c r="L469" s="9"/>
      <c r="M469" s="21"/>
      <c r="N469" s="171"/>
      <c r="O469" s="21"/>
      <c r="P469" s="15">
        <v>4</v>
      </c>
      <c r="Q469" s="15">
        <v>16</v>
      </c>
      <c r="R469" s="15">
        <v>80</v>
      </c>
      <c r="S469" s="10"/>
      <c r="T469" s="9"/>
      <c r="U469" s="21" t="s">
        <v>3030</v>
      </c>
      <c r="V469" s="21" t="s">
        <v>3031</v>
      </c>
      <c r="W469" s="21"/>
      <c r="X469" s="174"/>
      <c r="Y469" s="193"/>
    </row>
    <row r="470" spans="1:25" ht="30" x14ac:dyDescent="0.3">
      <c r="A470" s="171"/>
      <c r="B470" s="171"/>
      <c r="C470" s="171"/>
      <c r="D470" s="16" t="s">
        <v>2282</v>
      </c>
      <c r="E470" s="25"/>
      <c r="F470" s="25"/>
      <c r="G470" s="25"/>
      <c r="H470" s="25"/>
      <c r="I470" s="15" t="s">
        <v>3032</v>
      </c>
      <c r="J470" s="21"/>
      <c r="K470" s="9" t="s">
        <v>2030</v>
      </c>
      <c r="L470" s="9"/>
      <c r="M470" s="21"/>
      <c r="N470" s="171"/>
      <c r="O470" s="21"/>
      <c r="P470" s="15">
        <v>4</v>
      </c>
      <c r="Q470" s="15">
        <v>4</v>
      </c>
      <c r="R470" s="15">
        <v>40</v>
      </c>
      <c r="S470" s="10"/>
      <c r="T470" s="9"/>
      <c r="U470" s="21" t="s">
        <v>3033</v>
      </c>
      <c r="V470" s="21" t="s">
        <v>3034</v>
      </c>
      <c r="W470" s="21"/>
      <c r="X470" s="174"/>
      <c r="Y470" s="193"/>
    </row>
    <row r="471" spans="1:25" ht="30" x14ac:dyDescent="0.3">
      <c r="A471" s="171"/>
      <c r="B471" s="172"/>
      <c r="C471" s="171"/>
      <c r="D471" s="16" t="s">
        <v>2036</v>
      </c>
      <c r="E471" s="23"/>
      <c r="F471" s="23"/>
      <c r="G471" s="23"/>
      <c r="H471" s="23"/>
      <c r="I471" s="30" t="s">
        <v>3035</v>
      </c>
      <c r="J471" s="21"/>
      <c r="K471" s="9" t="s">
        <v>2139</v>
      </c>
      <c r="L471" s="9"/>
      <c r="M471" s="21"/>
      <c r="N471" s="171"/>
      <c r="O471" s="21"/>
      <c r="P471" s="15">
        <v>2</v>
      </c>
      <c r="Q471" s="15">
        <v>4</v>
      </c>
      <c r="R471" s="15">
        <v>30</v>
      </c>
      <c r="S471" s="10"/>
      <c r="T471" s="9"/>
      <c r="U471" s="21" t="s">
        <v>3036</v>
      </c>
      <c r="V471" s="21" t="s">
        <v>3037</v>
      </c>
      <c r="W471" s="21"/>
      <c r="X471" s="175"/>
      <c r="Y471" s="194"/>
    </row>
    <row r="472" spans="1:25" x14ac:dyDescent="0.3">
      <c r="A472" s="171"/>
      <c r="B472" s="170" t="s">
        <v>3038</v>
      </c>
      <c r="C472" s="171"/>
      <c r="D472" s="20" t="s">
        <v>2041</v>
      </c>
      <c r="E472" s="20"/>
      <c r="F472" s="20"/>
      <c r="G472" s="20"/>
      <c r="H472" s="20"/>
      <c r="I472" s="15"/>
      <c r="J472" s="21"/>
      <c r="K472" s="9" t="s">
        <v>2030</v>
      </c>
      <c r="L472" s="9"/>
      <c r="M472" s="21" t="s">
        <v>1526</v>
      </c>
      <c r="N472" s="171"/>
      <c r="O472" s="21"/>
      <c r="P472" s="15"/>
      <c r="Q472" s="15"/>
      <c r="R472" s="15"/>
      <c r="S472" s="10"/>
      <c r="T472" s="9"/>
      <c r="U472" s="21" t="s">
        <v>3039</v>
      </c>
      <c r="V472" s="21"/>
      <c r="W472" s="21"/>
      <c r="X472" s="173"/>
      <c r="Y472" s="192"/>
    </row>
    <row r="473" spans="1:25" x14ac:dyDescent="0.3">
      <c r="A473" s="171"/>
      <c r="B473" s="171"/>
      <c r="C473" s="171"/>
      <c r="D473" s="16" t="s">
        <v>2036</v>
      </c>
      <c r="E473" s="25"/>
      <c r="F473" s="25"/>
      <c r="G473" s="25"/>
      <c r="H473" s="25"/>
      <c r="I473" s="30" t="s">
        <v>1943</v>
      </c>
      <c r="J473" s="21"/>
      <c r="K473" s="9" t="s">
        <v>2030</v>
      </c>
      <c r="L473" s="9"/>
      <c r="M473" s="21"/>
      <c r="N473" s="171"/>
      <c r="O473" s="21"/>
      <c r="P473" s="15">
        <v>4</v>
      </c>
      <c r="Q473" s="15">
        <v>16</v>
      </c>
      <c r="R473" s="15">
        <v>40</v>
      </c>
      <c r="S473" s="10"/>
      <c r="T473" s="9"/>
      <c r="U473" s="21" t="s">
        <v>3040</v>
      </c>
      <c r="V473" s="21" t="s">
        <v>3041</v>
      </c>
      <c r="W473" s="21"/>
      <c r="X473" s="174"/>
      <c r="Y473" s="193"/>
    </row>
    <row r="474" spans="1:25" x14ac:dyDescent="0.3">
      <c r="A474" s="171"/>
      <c r="B474" s="171"/>
      <c r="C474" s="171"/>
      <c r="D474" s="16" t="s">
        <v>2036</v>
      </c>
      <c r="E474" s="25">
        <v>24</v>
      </c>
      <c r="F474" s="31">
        <f>SUM(P473:P476)/E474</f>
        <v>0.33333333333333331</v>
      </c>
      <c r="G474" s="25">
        <v>96</v>
      </c>
      <c r="H474" s="31">
        <f>SUM(Q473:Q476)/G474</f>
        <v>0.375</v>
      </c>
      <c r="I474" s="30" t="s">
        <v>1932</v>
      </c>
      <c r="J474" s="21"/>
      <c r="K474" s="9" t="s">
        <v>2030</v>
      </c>
      <c r="L474" s="9"/>
      <c r="M474" s="21"/>
      <c r="N474" s="171"/>
      <c r="O474" s="21"/>
      <c r="P474" s="15">
        <v>2</v>
      </c>
      <c r="Q474" s="15">
        <v>16</v>
      </c>
      <c r="R474" s="15">
        <v>40</v>
      </c>
      <c r="S474" s="10"/>
      <c r="T474" s="9"/>
      <c r="U474" s="21" t="s">
        <v>3042</v>
      </c>
      <c r="V474" s="21" t="s">
        <v>3043</v>
      </c>
      <c r="W474" s="21"/>
      <c r="X474" s="174"/>
      <c r="Y474" s="193"/>
    </row>
    <row r="475" spans="1:25" ht="30" x14ac:dyDescent="0.3">
      <c r="A475" s="171"/>
      <c r="B475" s="171"/>
      <c r="C475" s="171"/>
      <c r="D475" s="16" t="s">
        <v>2282</v>
      </c>
      <c r="E475" s="25"/>
      <c r="F475" s="25"/>
      <c r="G475" s="25"/>
      <c r="H475" s="25"/>
      <c r="I475" s="30" t="s">
        <v>3044</v>
      </c>
      <c r="J475" s="21"/>
      <c r="K475" s="9" t="s">
        <v>2287</v>
      </c>
      <c r="L475" s="9"/>
      <c r="M475" s="21"/>
      <c r="N475" s="171"/>
      <c r="O475" s="21"/>
      <c r="P475" s="15">
        <v>2</v>
      </c>
      <c r="Q475" s="15">
        <v>4</v>
      </c>
      <c r="R475" s="15">
        <v>140</v>
      </c>
      <c r="S475" s="10"/>
      <c r="T475" s="9"/>
      <c r="U475" s="21" t="s">
        <v>3045</v>
      </c>
      <c r="V475" s="21" t="s">
        <v>3046</v>
      </c>
      <c r="W475" s="21"/>
      <c r="X475" s="174"/>
      <c r="Y475" s="193"/>
    </row>
    <row r="476" spans="1:25" x14ac:dyDescent="0.3">
      <c r="A476" s="172"/>
      <c r="B476" s="172"/>
      <c r="C476" s="172"/>
      <c r="D476" s="16" t="s">
        <v>2036</v>
      </c>
      <c r="E476" s="23"/>
      <c r="F476" s="23"/>
      <c r="G476" s="23"/>
      <c r="H476" s="23"/>
      <c r="I476" s="15"/>
      <c r="J476" s="21"/>
      <c r="K476" s="9"/>
      <c r="L476" s="9"/>
      <c r="M476" s="21"/>
      <c r="N476" s="172"/>
      <c r="O476" s="21"/>
      <c r="P476" s="21"/>
      <c r="Q476" s="21"/>
      <c r="R476" s="40"/>
      <c r="S476" s="10"/>
      <c r="T476" s="9"/>
      <c r="U476" s="21"/>
      <c r="V476" s="21"/>
      <c r="W476" s="21"/>
      <c r="X476" s="175"/>
      <c r="Y476" s="194"/>
    </row>
    <row r="477" spans="1:25" x14ac:dyDescent="0.3">
      <c r="A477" s="170" t="s">
        <v>2026</v>
      </c>
      <c r="B477" s="170" t="s">
        <v>3047</v>
      </c>
      <c r="C477" s="170"/>
      <c r="D477" s="20" t="s">
        <v>2041</v>
      </c>
      <c r="E477" s="20"/>
      <c r="F477" s="20"/>
      <c r="G477" s="20"/>
      <c r="H477" s="20"/>
      <c r="I477" s="15"/>
      <c r="J477" s="21"/>
      <c r="K477" s="9" t="s">
        <v>2030</v>
      </c>
      <c r="L477" s="9"/>
      <c r="M477" s="21" t="s">
        <v>1526</v>
      </c>
      <c r="N477" s="173"/>
      <c r="O477" s="21"/>
      <c r="P477" s="21"/>
      <c r="Q477" s="21"/>
      <c r="R477" s="21"/>
      <c r="S477" s="10"/>
      <c r="T477" s="9"/>
      <c r="U477" s="21"/>
      <c r="V477" s="21"/>
      <c r="W477" s="21"/>
      <c r="X477" s="173"/>
      <c r="Y477" s="192"/>
    </row>
    <row r="478" spans="1:25" x14ac:dyDescent="0.3">
      <c r="A478" s="171"/>
      <c r="B478" s="171"/>
      <c r="C478" s="171"/>
      <c r="D478" s="16" t="s">
        <v>2036</v>
      </c>
      <c r="E478" s="25"/>
      <c r="F478" s="25"/>
      <c r="G478" s="25"/>
      <c r="H478" s="25"/>
      <c r="I478" s="15"/>
      <c r="J478" s="21"/>
      <c r="K478" s="9"/>
      <c r="L478" s="9"/>
      <c r="M478" s="21"/>
      <c r="N478" s="174"/>
      <c r="O478" s="21"/>
      <c r="P478" s="21"/>
      <c r="Q478" s="21"/>
      <c r="R478" s="21"/>
      <c r="S478" s="10"/>
      <c r="T478" s="9"/>
      <c r="U478" s="21"/>
      <c r="V478" s="21"/>
      <c r="W478" s="21"/>
      <c r="X478" s="174"/>
      <c r="Y478" s="193"/>
    </row>
    <row r="479" spans="1:25" x14ac:dyDescent="0.3">
      <c r="A479" s="171"/>
      <c r="B479" s="171"/>
      <c r="C479" s="171"/>
      <c r="D479" s="16" t="s">
        <v>2036</v>
      </c>
      <c r="E479" s="25">
        <v>24</v>
      </c>
      <c r="F479" s="31">
        <f>SUM(P478:P481)/E479</f>
        <v>0</v>
      </c>
      <c r="G479" s="25">
        <v>16</v>
      </c>
      <c r="H479" s="31">
        <f>SUM(Q478:Q481)/G479</f>
        <v>0</v>
      </c>
      <c r="I479" s="15"/>
      <c r="J479" s="21"/>
      <c r="K479" s="9"/>
      <c r="L479" s="9"/>
      <c r="M479" s="21"/>
      <c r="N479" s="174"/>
      <c r="O479" s="21"/>
      <c r="P479" s="21"/>
      <c r="Q479" s="21"/>
      <c r="R479" s="21"/>
      <c r="S479" s="10"/>
      <c r="T479" s="9"/>
      <c r="U479" s="21"/>
      <c r="V479" s="21"/>
      <c r="W479" s="21"/>
      <c r="X479" s="174"/>
      <c r="Y479" s="193"/>
    </row>
    <row r="480" spans="1:25" x14ac:dyDescent="0.3">
      <c r="A480" s="171"/>
      <c r="B480" s="171"/>
      <c r="C480" s="171"/>
      <c r="D480" s="16" t="s">
        <v>2036</v>
      </c>
      <c r="E480" s="25"/>
      <c r="F480" s="25"/>
      <c r="G480" s="25"/>
      <c r="H480" s="25"/>
      <c r="I480" s="15"/>
      <c r="J480" s="21"/>
      <c r="K480" s="9"/>
      <c r="L480" s="9"/>
      <c r="M480" s="21"/>
      <c r="N480" s="174"/>
      <c r="O480" s="21"/>
      <c r="P480" s="21"/>
      <c r="Q480" s="21"/>
      <c r="R480" s="21"/>
      <c r="S480" s="10"/>
      <c r="T480" s="9"/>
      <c r="U480" s="21"/>
      <c r="V480" s="21"/>
      <c r="W480" s="21"/>
      <c r="X480" s="174"/>
      <c r="Y480" s="193"/>
    </row>
    <row r="481" spans="1:25" x14ac:dyDescent="0.3">
      <c r="A481" s="172"/>
      <c r="B481" s="172"/>
      <c r="C481" s="172"/>
      <c r="D481" s="16" t="s">
        <v>2036</v>
      </c>
      <c r="E481" s="23"/>
      <c r="F481" s="23"/>
      <c r="G481" s="23"/>
      <c r="H481" s="23"/>
      <c r="I481" s="15"/>
      <c r="J481" s="21"/>
      <c r="K481" s="9"/>
      <c r="L481" s="9"/>
      <c r="M481" s="21"/>
      <c r="N481" s="175"/>
      <c r="O481" s="21"/>
      <c r="P481" s="21"/>
      <c r="Q481" s="21"/>
      <c r="R481" s="21"/>
      <c r="S481" s="10"/>
      <c r="T481" s="9"/>
      <c r="U481" s="21"/>
      <c r="V481" s="21"/>
      <c r="W481" s="21"/>
      <c r="X481" s="175"/>
      <c r="Y481" s="194"/>
    </row>
    <row r="482" spans="1:25" x14ac:dyDescent="0.3">
      <c r="A482" s="170" t="s">
        <v>2026</v>
      </c>
      <c r="B482" s="170" t="s">
        <v>3048</v>
      </c>
      <c r="C482" s="170"/>
      <c r="D482" s="20" t="s">
        <v>2041</v>
      </c>
      <c r="E482" s="20"/>
      <c r="F482" s="20"/>
      <c r="G482" s="20"/>
      <c r="H482" s="20"/>
      <c r="I482" s="15"/>
      <c r="J482" s="21"/>
      <c r="K482" s="9" t="s">
        <v>2030</v>
      </c>
      <c r="L482" s="9"/>
      <c r="M482" s="21" t="s">
        <v>1526</v>
      </c>
      <c r="N482" s="173"/>
      <c r="O482" s="21"/>
      <c r="P482" s="21"/>
      <c r="Q482" s="21"/>
      <c r="R482" s="21"/>
      <c r="S482" s="10"/>
      <c r="T482" s="9"/>
      <c r="U482" s="21" t="s">
        <v>3049</v>
      </c>
      <c r="V482" s="21"/>
      <c r="W482" s="21"/>
      <c r="X482" s="173"/>
      <c r="Y482" s="192"/>
    </row>
    <row r="483" spans="1:25" x14ac:dyDescent="0.3">
      <c r="A483" s="171"/>
      <c r="B483" s="171"/>
      <c r="C483" s="171"/>
      <c r="D483" s="16" t="s">
        <v>2036</v>
      </c>
      <c r="E483" s="25"/>
      <c r="F483" s="25"/>
      <c r="G483" s="25"/>
      <c r="H483" s="25"/>
      <c r="I483" s="15"/>
      <c r="J483" s="21"/>
      <c r="K483" s="9"/>
      <c r="L483" s="9"/>
      <c r="M483" s="21"/>
      <c r="N483" s="174"/>
      <c r="O483" s="21"/>
      <c r="P483" s="21"/>
      <c r="Q483" s="21"/>
      <c r="R483" s="21"/>
      <c r="S483" s="10"/>
      <c r="T483" s="9"/>
      <c r="U483" s="21"/>
      <c r="V483" s="21"/>
      <c r="W483" s="21"/>
      <c r="X483" s="174"/>
      <c r="Y483" s="193"/>
    </row>
    <row r="484" spans="1:25" x14ac:dyDescent="0.3">
      <c r="A484" s="171"/>
      <c r="B484" s="171"/>
      <c r="C484" s="171"/>
      <c r="D484" s="16" t="s">
        <v>2036</v>
      </c>
      <c r="E484" s="25">
        <v>24</v>
      </c>
      <c r="F484" s="31">
        <f>SUM(P483:P486)/E484</f>
        <v>0</v>
      </c>
      <c r="G484" s="25">
        <v>96</v>
      </c>
      <c r="H484" s="31">
        <f>SUM(Q483:Q486)/G484</f>
        <v>0</v>
      </c>
      <c r="I484" s="15"/>
      <c r="J484" s="21"/>
      <c r="K484" s="9"/>
      <c r="L484" s="9"/>
      <c r="M484" s="21"/>
      <c r="N484" s="174"/>
      <c r="O484" s="21"/>
      <c r="P484" s="21"/>
      <c r="Q484" s="21"/>
      <c r="R484" s="21"/>
      <c r="S484" s="10"/>
      <c r="T484" s="9"/>
      <c r="U484" s="21"/>
      <c r="V484" s="21"/>
      <c r="W484" s="21"/>
      <c r="X484" s="174"/>
      <c r="Y484" s="193"/>
    </row>
    <row r="485" spans="1:25" x14ac:dyDescent="0.3">
      <c r="A485" s="171"/>
      <c r="B485" s="171"/>
      <c r="C485" s="171"/>
      <c r="D485" s="16" t="s">
        <v>2036</v>
      </c>
      <c r="E485" s="25"/>
      <c r="F485" s="25"/>
      <c r="G485" s="25"/>
      <c r="H485" s="25"/>
      <c r="I485" s="15"/>
      <c r="J485" s="21"/>
      <c r="K485" s="9"/>
      <c r="L485" s="9"/>
      <c r="M485" s="21"/>
      <c r="N485" s="174"/>
      <c r="O485" s="21"/>
      <c r="P485" s="21"/>
      <c r="Q485" s="21"/>
      <c r="R485" s="21"/>
      <c r="S485" s="10"/>
      <c r="T485" s="9"/>
      <c r="U485" s="21"/>
      <c r="V485" s="21"/>
      <c r="W485" s="21"/>
      <c r="X485" s="174"/>
      <c r="Y485" s="193"/>
    </row>
    <row r="486" spans="1:25" x14ac:dyDescent="0.3">
      <c r="A486" s="172"/>
      <c r="B486" s="172"/>
      <c r="C486" s="172"/>
      <c r="D486" s="16" t="s">
        <v>2036</v>
      </c>
      <c r="E486" s="23"/>
      <c r="F486" s="23"/>
      <c r="G486" s="23"/>
      <c r="H486" s="23"/>
      <c r="I486" s="15"/>
      <c r="J486" s="21"/>
      <c r="K486" s="9"/>
      <c r="L486" s="9"/>
      <c r="M486" s="21"/>
      <c r="N486" s="175"/>
      <c r="O486" s="21"/>
      <c r="P486" s="21"/>
      <c r="Q486" s="21"/>
      <c r="R486" s="21"/>
      <c r="S486" s="10"/>
      <c r="T486" s="9"/>
      <c r="U486" s="21"/>
      <c r="V486" s="21"/>
      <c r="W486" s="21"/>
      <c r="X486" s="175"/>
      <c r="Y486" s="194"/>
    </row>
    <row r="487" spans="1:25" x14ac:dyDescent="0.3">
      <c r="A487" s="170" t="s">
        <v>2026</v>
      </c>
      <c r="B487" s="170" t="s">
        <v>3050</v>
      </c>
      <c r="C487" s="170"/>
      <c r="D487" s="20" t="s">
        <v>2041</v>
      </c>
      <c r="E487" s="20"/>
      <c r="F487" s="20"/>
      <c r="G487" s="20"/>
      <c r="H487" s="20"/>
      <c r="I487" s="15"/>
      <c r="J487" s="21"/>
      <c r="K487" s="9" t="s">
        <v>2030</v>
      </c>
      <c r="L487" s="9"/>
      <c r="M487" s="21" t="s">
        <v>1526</v>
      </c>
      <c r="N487" s="173"/>
      <c r="O487" s="21"/>
      <c r="P487" s="21"/>
      <c r="Q487" s="21"/>
      <c r="R487" s="21"/>
      <c r="S487" s="10"/>
      <c r="T487" s="9"/>
      <c r="U487" s="21" t="s">
        <v>3051</v>
      </c>
      <c r="V487" s="21"/>
      <c r="W487" s="21"/>
      <c r="X487" s="173"/>
      <c r="Y487" s="192"/>
    </row>
    <row r="488" spans="1:25" x14ac:dyDescent="0.3">
      <c r="A488" s="171"/>
      <c r="B488" s="171"/>
      <c r="C488" s="171"/>
      <c r="D488" s="16" t="s">
        <v>2036</v>
      </c>
      <c r="E488" s="25"/>
      <c r="F488" s="25"/>
      <c r="G488" s="25"/>
      <c r="H488" s="25"/>
      <c r="I488" s="15"/>
      <c r="J488" s="21"/>
      <c r="K488" s="9"/>
      <c r="L488" s="9"/>
      <c r="M488" s="21"/>
      <c r="N488" s="174"/>
      <c r="O488" s="21"/>
      <c r="P488" s="21"/>
      <c r="Q488" s="21"/>
      <c r="R488" s="21"/>
      <c r="S488" s="10"/>
      <c r="T488" s="9"/>
      <c r="U488" s="21"/>
      <c r="V488" s="21"/>
      <c r="W488" s="21"/>
      <c r="X488" s="174"/>
      <c r="Y488" s="193"/>
    </row>
    <row r="489" spans="1:25" x14ac:dyDescent="0.3">
      <c r="A489" s="171"/>
      <c r="B489" s="171"/>
      <c r="C489" s="171"/>
      <c r="D489" s="16" t="s">
        <v>2036</v>
      </c>
      <c r="E489" s="25">
        <v>24</v>
      </c>
      <c r="F489" s="31">
        <f>SUM(P488:P491)/E489</f>
        <v>0</v>
      </c>
      <c r="G489" s="25">
        <v>96</v>
      </c>
      <c r="H489" s="31">
        <f>SUM(Q488:Q491)/G489</f>
        <v>0</v>
      </c>
      <c r="I489" s="15"/>
      <c r="J489" s="21"/>
      <c r="K489" s="9"/>
      <c r="L489" s="9"/>
      <c r="M489" s="21"/>
      <c r="N489" s="174"/>
      <c r="O489" s="21"/>
      <c r="P489" s="21"/>
      <c r="Q489" s="21"/>
      <c r="R489" s="21"/>
      <c r="S489" s="10"/>
      <c r="T489" s="9"/>
      <c r="U489" s="21"/>
      <c r="V489" s="21"/>
      <c r="W489" s="21"/>
      <c r="X489" s="174"/>
      <c r="Y489" s="193"/>
    </row>
    <row r="490" spans="1:25" x14ac:dyDescent="0.3">
      <c r="A490" s="171"/>
      <c r="B490" s="171"/>
      <c r="C490" s="171"/>
      <c r="D490" s="16" t="s">
        <v>2036</v>
      </c>
      <c r="E490" s="25"/>
      <c r="F490" s="25"/>
      <c r="G490" s="25"/>
      <c r="H490" s="25"/>
      <c r="I490" s="15"/>
      <c r="J490" s="21"/>
      <c r="K490" s="9"/>
      <c r="L490" s="9"/>
      <c r="M490" s="21"/>
      <c r="N490" s="174"/>
      <c r="O490" s="21"/>
      <c r="P490" s="21"/>
      <c r="Q490" s="21"/>
      <c r="R490" s="21"/>
      <c r="S490" s="10"/>
      <c r="T490" s="9"/>
      <c r="U490" s="21"/>
      <c r="V490" s="21"/>
      <c r="W490" s="21"/>
      <c r="X490" s="174"/>
      <c r="Y490" s="193"/>
    </row>
    <row r="491" spans="1:25" x14ac:dyDescent="0.3">
      <c r="A491" s="172"/>
      <c r="B491" s="172"/>
      <c r="C491" s="172"/>
      <c r="D491" s="16" t="s">
        <v>2036</v>
      </c>
      <c r="E491" s="23"/>
      <c r="F491" s="23"/>
      <c r="G491" s="23"/>
      <c r="H491" s="23"/>
      <c r="I491" s="15"/>
      <c r="J491" s="21"/>
      <c r="K491" s="9"/>
      <c r="L491" s="9"/>
      <c r="M491" s="21"/>
      <c r="N491" s="175"/>
      <c r="O491" s="21"/>
      <c r="P491" s="21"/>
      <c r="Q491" s="21"/>
      <c r="R491" s="21"/>
      <c r="S491" s="10"/>
      <c r="T491" s="9"/>
      <c r="U491" s="21"/>
      <c r="V491" s="21"/>
      <c r="W491" s="21"/>
      <c r="X491" s="175"/>
      <c r="Y491" s="194"/>
    </row>
    <row r="492" spans="1:25" x14ac:dyDescent="0.3">
      <c r="A492" s="170" t="s">
        <v>2026</v>
      </c>
      <c r="B492" s="170" t="s">
        <v>3052</v>
      </c>
      <c r="C492" s="170"/>
      <c r="D492" s="20" t="s">
        <v>2041</v>
      </c>
      <c r="E492" s="20"/>
      <c r="F492" s="20"/>
      <c r="G492" s="20"/>
      <c r="H492" s="20"/>
      <c r="I492" s="15"/>
      <c r="J492" s="21"/>
      <c r="K492" s="9" t="s">
        <v>2030</v>
      </c>
      <c r="L492" s="9"/>
      <c r="M492" s="21" t="s">
        <v>1526</v>
      </c>
      <c r="N492" s="173"/>
      <c r="O492" s="21"/>
      <c r="P492" s="21"/>
      <c r="Q492" s="21"/>
      <c r="R492" s="21"/>
      <c r="S492" s="10"/>
      <c r="T492" s="9"/>
      <c r="U492" s="21" t="s">
        <v>3053</v>
      </c>
      <c r="V492" s="21"/>
      <c r="W492" s="21"/>
      <c r="X492" s="173"/>
      <c r="Y492" s="192"/>
    </row>
    <row r="493" spans="1:25" x14ac:dyDescent="0.3">
      <c r="A493" s="171"/>
      <c r="B493" s="171"/>
      <c r="C493" s="171"/>
      <c r="D493" s="16" t="s">
        <v>2036</v>
      </c>
      <c r="E493" s="25"/>
      <c r="F493" s="25"/>
      <c r="G493" s="25"/>
      <c r="H493" s="25"/>
      <c r="I493" s="15"/>
      <c r="J493" s="21"/>
      <c r="K493" s="9"/>
      <c r="L493" s="9"/>
      <c r="M493" s="21"/>
      <c r="N493" s="174"/>
      <c r="O493" s="21"/>
      <c r="P493" s="21"/>
      <c r="Q493" s="21"/>
      <c r="R493" s="21"/>
      <c r="S493" s="10"/>
      <c r="T493" s="9"/>
      <c r="U493" s="21"/>
      <c r="V493" s="21"/>
      <c r="W493" s="21"/>
      <c r="X493" s="174"/>
      <c r="Y493" s="193"/>
    </row>
    <row r="494" spans="1:25" x14ac:dyDescent="0.3">
      <c r="A494" s="171"/>
      <c r="B494" s="171"/>
      <c r="C494" s="171"/>
      <c r="D494" s="16" t="s">
        <v>2036</v>
      </c>
      <c r="E494" s="25">
        <v>64</v>
      </c>
      <c r="F494" s="31">
        <f>SUM(P493:P496)/E494</f>
        <v>0</v>
      </c>
      <c r="G494" s="25">
        <v>240</v>
      </c>
      <c r="H494" s="31">
        <f>SUM(Q493:Q496)/G494</f>
        <v>0</v>
      </c>
      <c r="I494" s="15"/>
      <c r="J494" s="21"/>
      <c r="K494" s="9"/>
      <c r="L494" s="9"/>
      <c r="M494" s="21"/>
      <c r="N494" s="174"/>
      <c r="O494" s="21"/>
      <c r="P494" s="21"/>
      <c r="Q494" s="21"/>
      <c r="R494" s="21"/>
      <c r="S494" s="10"/>
      <c r="T494" s="9"/>
      <c r="U494" s="21"/>
      <c r="V494" s="21"/>
      <c r="W494" s="21"/>
      <c r="X494" s="174"/>
      <c r="Y494" s="193"/>
    </row>
    <row r="495" spans="1:25" x14ac:dyDescent="0.3">
      <c r="A495" s="171"/>
      <c r="B495" s="171"/>
      <c r="C495" s="171"/>
      <c r="D495" s="16" t="s">
        <v>2036</v>
      </c>
      <c r="E495" s="25"/>
      <c r="F495" s="25"/>
      <c r="G495" s="25"/>
      <c r="H495" s="25"/>
      <c r="I495" s="15"/>
      <c r="J495" s="21"/>
      <c r="K495" s="9"/>
      <c r="L495" s="9"/>
      <c r="M495" s="21"/>
      <c r="N495" s="174"/>
      <c r="O495" s="21"/>
      <c r="P495" s="21"/>
      <c r="Q495" s="21"/>
      <c r="R495" s="21"/>
      <c r="S495" s="10"/>
      <c r="T495" s="9"/>
      <c r="U495" s="21"/>
      <c r="V495" s="21"/>
      <c r="W495" s="21"/>
      <c r="X495" s="174"/>
      <c r="Y495" s="193"/>
    </row>
    <row r="496" spans="1:25" x14ac:dyDescent="0.3">
      <c r="A496" s="172"/>
      <c r="B496" s="172"/>
      <c r="C496" s="172"/>
      <c r="D496" s="16" t="s">
        <v>2036</v>
      </c>
      <c r="E496" s="23"/>
      <c r="F496" s="23"/>
      <c r="G496" s="23"/>
      <c r="H496" s="23"/>
      <c r="I496" s="15"/>
      <c r="J496" s="21"/>
      <c r="K496" s="9"/>
      <c r="L496" s="9"/>
      <c r="M496" s="21"/>
      <c r="N496" s="175"/>
      <c r="O496" s="21"/>
      <c r="P496" s="21"/>
      <c r="Q496" s="21"/>
      <c r="R496" s="21"/>
      <c r="S496" s="10"/>
      <c r="T496" s="9"/>
      <c r="U496" s="21"/>
      <c r="V496" s="21"/>
      <c r="W496" s="21"/>
      <c r="X496" s="175"/>
      <c r="Y496" s="194"/>
    </row>
    <row r="497" spans="1:25" x14ac:dyDescent="0.3">
      <c r="A497" s="170" t="s">
        <v>2026</v>
      </c>
      <c r="B497" s="170" t="s">
        <v>3054</v>
      </c>
      <c r="C497" s="170"/>
      <c r="D497" s="20" t="s">
        <v>2041</v>
      </c>
      <c r="E497" s="20"/>
      <c r="F497" s="20"/>
      <c r="G497" s="20"/>
      <c r="H497" s="20"/>
      <c r="I497" s="15"/>
      <c r="J497" s="21"/>
      <c r="K497" s="9" t="s">
        <v>2030</v>
      </c>
      <c r="L497" s="9"/>
      <c r="M497" s="21" t="s">
        <v>1526</v>
      </c>
      <c r="N497" s="173"/>
      <c r="O497" s="21"/>
      <c r="P497" s="21"/>
      <c r="Q497" s="21"/>
      <c r="R497" s="21"/>
      <c r="S497" s="10"/>
      <c r="T497" s="9"/>
      <c r="U497" s="21" t="s">
        <v>3055</v>
      </c>
      <c r="V497" s="21"/>
      <c r="W497" s="21"/>
      <c r="X497" s="173"/>
      <c r="Y497" s="192"/>
    </row>
    <row r="498" spans="1:25" x14ac:dyDescent="0.3">
      <c r="A498" s="171"/>
      <c r="B498" s="171"/>
      <c r="C498" s="171"/>
      <c r="D498" s="16" t="s">
        <v>2036</v>
      </c>
      <c r="E498" s="25"/>
      <c r="F498" s="25"/>
      <c r="G498" s="25"/>
      <c r="H498" s="25"/>
      <c r="I498" s="15"/>
      <c r="J498" s="21"/>
      <c r="K498" s="9"/>
      <c r="L498" s="9"/>
      <c r="M498" s="21"/>
      <c r="N498" s="174"/>
      <c r="O498" s="21"/>
      <c r="P498" s="21"/>
      <c r="Q498" s="21"/>
      <c r="R498" s="21"/>
      <c r="S498" s="10"/>
      <c r="T498" s="9"/>
      <c r="U498" s="21"/>
      <c r="V498" s="21"/>
      <c r="W498" s="21"/>
      <c r="X498" s="174"/>
      <c r="Y498" s="193"/>
    </row>
    <row r="499" spans="1:25" x14ac:dyDescent="0.3">
      <c r="A499" s="171"/>
      <c r="B499" s="171"/>
      <c r="C499" s="171"/>
      <c r="D499" s="16" t="s">
        <v>2036</v>
      </c>
      <c r="E499" s="25">
        <v>64</v>
      </c>
      <c r="F499" s="31">
        <f>SUM(P498:P501)/E499</f>
        <v>0</v>
      </c>
      <c r="G499" s="25">
        <v>240</v>
      </c>
      <c r="H499" s="31">
        <f>SUM(Q498:Q501)/G499</f>
        <v>0</v>
      </c>
      <c r="I499" s="15"/>
      <c r="J499" s="21"/>
      <c r="K499" s="9"/>
      <c r="L499" s="9"/>
      <c r="M499" s="21"/>
      <c r="N499" s="174"/>
      <c r="O499" s="21"/>
      <c r="P499" s="21"/>
      <c r="Q499" s="21"/>
      <c r="R499" s="21"/>
      <c r="S499" s="10"/>
      <c r="T499" s="9"/>
      <c r="U499" s="21"/>
      <c r="V499" s="21"/>
      <c r="W499" s="21"/>
      <c r="X499" s="174"/>
      <c r="Y499" s="193"/>
    </row>
    <row r="500" spans="1:25" x14ac:dyDescent="0.3">
      <c r="A500" s="171"/>
      <c r="B500" s="171"/>
      <c r="C500" s="171"/>
      <c r="D500" s="16" t="s">
        <v>2036</v>
      </c>
      <c r="E500" s="25"/>
      <c r="F500" s="25"/>
      <c r="G500" s="25"/>
      <c r="H500" s="25"/>
      <c r="I500" s="15"/>
      <c r="J500" s="21"/>
      <c r="K500" s="9"/>
      <c r="L500" s="9"/>
      <c r="M500" s="21"/>
      <c r="N500" s="174"/>
      <c r="O500" s="21"/>
      <c r="P500" s="21"/>
      <c r="Q500" s="21"/>
      <c r="R500" s="21"/>
      <c r="S500" s="10"/>
      <c r="T500" s="9"/>
      <c r="U500" s="21"/>
      <c r="V500" s="21"/>
      <c r="W500" s="21"/>
      <c r="X500" s="174"/>
      <c r="Y500" s="193"/>
    </row>
    <row r="501" spans="1:25" x14ac:dyDescent="0.3">
      <c r="A501" s="172"/>
      <c r="B501" s="172"/>
      <c r="C501" s="172"/>
      <c r="D501" s="16" t="s">
        <v>2036</v>
      </c>
      <c r="E501" s="23"/>
      <c r="F501" s="23"/>
      <c r="G501" s="23"/>
      <c r="H501" s="23"/>
      <c r="I501" s="15"/>
      <c r="J501" s="21"/>
      <c r="K501" s="9"/>
      <c r="L501" s="9"/>
      <c r="M501" s="21"/>
      <c r="N501" s="175"/>
      <c r="O501" s="21"/>
      <c r="P501" s="21"/>
      <c r="Q501" s="21"/>
      <c r="R501" s="21"/>
      <c r="S501" s="10"/>
      <c r="T501" s="9"/>
      <c r="U501" s="21"/>
      <c r="V501" s="21"/>
      <c r="W501" s="21"/>
      <c r="X501" s="175"/>
      <c r="Y501" s="194"/>
    </row>
    <row r="502" spans="1:25" x14ac:dyDescent="0.3">
      <c r="A502" s="16"/>
      <c r="B502" s="16"/>
      <c r="C502" s="16"/>
      <c r="D502" s="16"/>
      <c r="E502" s="16"/>
      <c r="F502" s="31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5"/>
      <c r="X502" s="16"/>
      <c r="Y502" s="15"/>
    </row>
    <row r="503" spans="1:25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5"/>
      <c r="X503" s="16"/>
      <c r="Y503" s="15"/>
    </row>
    <row r="504" spans="1:25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5"/>
      <c r="X504" s="16"/>
      <c r="Y504" s="15"/>
    </row>
    <row r="505" spans="1:25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5"/>
      <c r="X505" s="16"/>
      <c r="Y505" s="15"/>
    </row>
    <row r="506" spans="1:25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5"/>
    </row>
    <row r="507" spans="1:25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5"/>
    </row>
    <row r="508" spans="1:25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</sheetData>
  <autoFilter ref="A1:X501" xr:uid="{00000000-0009-0000-0000-000008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79">
    <mergeCell ref="Y482:Y486"/>
    <mergeCell ref="Y487:Y491"/>
    <mergeCell ref="Y492:Y496"/>
    <mergeCell ref="Y497:Y501"/>
    <mergeCell ref="X208:X213"/>
    <mergeCell ref="Y208:Y213"/>
    <mergeCell ref="Y430:Y434"/>
    <mergeCell ref="Y435:Y439"/>
    <mergeCell ref="Y440:Y446"/>
    <mergeCell ref="Y447:Y453"/>
    <mergeCell ref="Y454:Y459"/>
    <mergeCell ref="Y460:Y465"/>
    <mergeCell ref="Y466:Y471"/>
    <mergeCell ref="Y472:Y476"/>
    <mergeCell ref="Y477:Y481"/>
    <mergeCell ref="Y369:Y375"/>
    <mergeCell ref="Y376:Y381"/>
    <mergeCell ref="Y382:Y385"/>
    <mergeCell ref="Y386:Y390"/>
    <mergeCell ref="Y391:Y398"/>
    <mergeCell ref="Y399:Y407"/>
    <mergeCell ref="Y408:Y416"/>
    <mergeCell ref="Y417:Y422"/>
    <mergeCell ref="Y423:Y429"/>
    <mergeCell ref="Y224:Y228"/>
    <mergeCell ref="Y229:Y233"/>
    <mergeCell ref="Y234:Y238"/>
    <mergeCell ref="Y239:Y243"/>
    <mergeCell ref="Y244:Y248"/>
    <mergeCell ref="Y249:Y253"/>
    <mergeCell ref="Y254:Y259"/>
    <mergeCell ref="Y354:Y360"/>
    <mergeCell ref="Y361:Y368"/>
    <mergeCell ref="A353:Y353"/>
    <mergeCell ref="X229:X233"/>
    <mergeCell ref="A224:A228"/>
    <mergeCell ref="B224:B228"/>
    <mergeCell ref="C224:C228"/>
    <mergeCell ref="N224:N228"/>
    <mergeCell ref="X224:X228"/>
    <mergeCell ref="A239:A243"/>
    <mergeCell ref="B239:B243"/>
    <mergeCell ref="C239:C243"/>
    <mergeCell ref="N239:N243"/>
    <mergeCell ref="X254:X259"/>
    <mergeCell ref="X239:X243"/>
    <mergeCell ref="X234:X238"/>
    <mergeCell ref="X249:X253"/>
    <mergeCell ref="Y158:Y165"/>
    <mergeCell ref="Y166:Y172"/>
    <mergeCell ref="Y173:Y180"/>
    <mergeCell ref="Y181:Y187"/>
    <mergeCell ref="Y188:Y194"/>
    <mergeCell ref="Y195:Y201"/>
    <mergeCell ref="Y202:Y207"/>
    <mergeCell ref="Y214:Y218"/>
    <mergeCell ref="Y219:Y223"/>
    <mergeCell ref="Y101:Y104"/>
    <mergeCell ref="Y105:Y109"/>
    <mergeCell ref="Y110:Y115"/>
    <mergeCell ref="Y116:Y123"/>
    <mergeCell ref="Y124:Y129"/>
    <mergeCell ref="Y130:Y138"/>
    <mergeCell ref="Y139:Y144"/>
    <mergeCell ref="Y145:Y149"/>
    <mergeCell ref="Y150:Y157"/>
    <mergeCell ref="Y51:Y56"/>
    <mergeCell ref="Y57:Y61"/>
    <mergeCell ref="Y62:Y67"/>
    <mergeCell ref="Y68:Y74"/>
    <mergeCell ref="Y75:Y80"/>
    <mergeCell ref="Y81:Y85"/>
    <mergeCell ref="Y86:Y90"/>
    <mergeCell ref="Y91:Y95"/>
    <mergeCell ref="Y96:Y100"/>
    <mergeCell ref="Y4:Y8"/>
    <mergeCell ref="Y9:Y13"/>
    <mergeCell ref="Y14:Y18"/>
    <mergeCell ref="Y19:Y23"/>
    <mergeCell ref="Y24:Y28"/>
    <mergeCell ref="Y29:Y34"/>
    <mergeCell ref="Y35:Y40"/>
    <mergeCell ref="Y41:Y45"/>
    <mergeCell ref="Y46:Y50"/>
    <mergeCell ref="A482:A486"/>
    <mergeCell ref="B482:B486"/>
    <mergeCell ref="C482:C486"/>
    <mergeCell ref="N482:N486"/>
    <mergeCell ref="X482:X486"/>
    <mergeCell ref="A477:A481"/>
    <mergeCell ref="B477:B481"/>
    <mergeCell ref="C477:C481"/>
    <mergeCell ref="N497:N501"/>
    <mergeCell ref="X497:X501"/>
    <mergeCell ref="A497:A501"/>
    <mergeCell ref="B497:B501"/>
    <mergeCell ref="C497:C501"/>
    <mergeCell ref="N487:N491"/>
    <mergeCell ref="X487:X491"/>
    <mergeCell ref="A492:A496"/>
    <mergeCell ref="B492:B496"/>
    <mergeCell ref="C492:C496"/>
    <mergeCell ref="N492:N496"/>
    <mergeCell ref="X492:X496"/>
    <mergeCell ref="A487:A491"/>
    <mergeCell ref="B487:B491"/>
    <mergeCell ref="C487:C491"/>
    <mergeCell ref="X466:X471"/>
    <mergeCell ref="B472:B476"/>
    <mergeCell ref="X472:X476"/>
    <mergeCell ref="C460:C476"/>
    <mergeCell ref="A460:A476"/>
    <mergeCell ref="N460:N476"/>
    <mergeCell ref="B466:B471"/>
    <mergeCell ref="N477:N481"/>
    <mergeCell ref="X477:X481"/>
    <mergeCell ref="B460:B465"/>
    <mergeCell ref="X460:X465"/>
    <mergeCell ref="A430:A459"/>
    <mergeCell ref="N354:N459"/>
    <mergeCell ref="B454:B459"/>
    <mergeCell ref="B440:B446"/>
    <mergeCell ref="X440:X446"/>
    <mergeCell ref="B447:B453"/>
    <mergeCell ref="X447:X453"/>
    <mergeCell ref="B430:B434"/>
    <mergeCell ref="X430:X434"/>
    <mergeCell ref="B435:B439"/>
    <mergeCell ref="X435:X439"/>
    <mergeCell ref="B417:B422"/>
    <mergeCell ref="X417:X422"/>
    <mergeCell ref="B423:B429"/>
    <mergeCell ref="X423:X429"/>
    <mergeCell ref="X454:X459"/>
    <mergeCell ref="C430:C459"/>
    <mergeCell ref="A386:A429"/>
    <mergeCell ref="C386:C429"/>
    <mergeCell ref="B399:B407"/>
    <mergeCell ref="X399:X407"/>
    <mergeCell ref="B408:B416"/>
    <mergeCell ref="X408:X416"/>
    <mergeCell ref="X386:X390"/>
    <mergeCell ref="B391:B398"/>
    <mergeCell ref="X391:X398"/>
    <mergeCell ref="B376:B381"/>
    <mergeCell ref="X376:X381"/>
    <mergeCell ref="B382:B385"/>
    <mergeCell ref="X382:X385"/>
    <mergeCell ref="A354:A385"/>
    <mergeCell ref="C354:C385"/>
    <mergeCell ref="B361:B368"/>
    <mergeCell ref="X361:X368"/>
    <mergeCell ref="B369:B375"/>
    <mergeCell ref="X369:X375"/>
    <mergeCell ref="B354:B360"/>
    <mergeCell ref="X354:X360"/>
    <mergeCell ref="B386:B390"/>
    <mergeCell ref="A1:G1"/>
    <mergeCell ref="I1:Q1"/>
    <mergeCell ref="B4:B8"/>
    <mergeCell ref="B24:B28"/>
    <mergeCell ref="X24:X28"/>
    <mergeCell ref="A4:A28"/>
    <mergeCell ref="A3:X3"/>
    <mergeCell ref="B14:B18"/>
    <mergeCell ref="X14:X18"/>
    <mergeCell ref="B19:B23"/>
    <mergeCell ref="X19:X23"/>
    <mergeCell ref="C4:C28"/>
    <mergeCell ref="N4:N28"/>
    <mergeCell ref="B9:B13"/>
    <mergeCell ref="X35:X40"/>
    <mergeCell ref="B29:B34"/>
    <mergeCell ref="X4:X8"/>
    <mergeCell ref="X9:X13"/>
    <mergeCell ref="A29:A80"/>
    <mergeCell ref="B81:B85"/>
    <mergeCell ref="A81:A100"/>
    <mergeCell ref="X81:X85"/>
    <mergeCell ref="X86:X90"/>
    <mergeCell ref="X68:X74"/>
    <mergeCell ref="X75:X80"/>
    <mergeCell ref="X57:X61"/>
    <mergeCell ref="X62:X67"/>
    <mergeCell ref="X29:X34"/>
    <mergeCell ref="B86:B90"/>
    <mergeCell ref="B35:B40"/>
    <mergeCell ref="B41:B45"/>
    <mergeCell ref="B46:B50"/>
    <mergeCell ref="B51:B56"/>
    <mergeCell ref="B57:B61"/>
    <mergeCell ref="B62:B67"/>
    <mergeCell ref="X96:X100"/>
    <mergeCell ref="X101:X104"/>
    <mergeCell ref="B68:B74"/>
    <mergeCell ref="B75:B80"/>
    <mergeCell ref="C29:C80"/>
    <mergeCell ref="X91:X95"/>
    <mergeCell ref="X41:X45"/>
    <mergeCell ref="C81:C100"/>
    <mergeCell ref="B101:B104"/>
    <mergeCell ref="C101:C144"/>
    <mergeCell ref="N29:N100"/>
    <mergeCell ref="X130:X138"/>
    <mergeCell ref="X139:X144"/>
    <mergeCell ref="X116:X123"/>
    <mergeCell ref="X124:X129"/>
    <mergeCell ref="X105:X109"/>
    <mergeCell ref="N101:N144"/>
    <mergeCell ref="X110:X115"/>
    <mergeCell ref="B105:B109"/>
    <mergeCell ref="B130:B138"/>
    <mergeCell ref="B139:B144"/>
    <mergeCell ref="B91:B95"/>
    <mergeCell ref="B96:B100"/>
    <mergeCell ref="X46:X50"/>
    <mergeCell ref="X51:X56"/>
    <mergeCell ref="X173:X180"/>
    <mergeCell ref="B181:B187"/>
    <mergeCell ref="X181:X187"/>
    <mergeCell ref="C145:C180"/>
    <mergeCell ref="B150:B157"/>
    <mergeCell ref="B158:B165"/>
    <mergeCell ref="B166:B172"/>
    <mergeCell ref="B173:B180"/>
    <mergeCell ref="B145:B149"/>
    <mergeCell ref="N145:N180"/>
    <mergeCell ref="X158:X165"/>
    <mergeCell ref="X166:X172"/>
    <mergeCell ref="X145:X149"/>
    <mergeCell ref="X150:X157"/>
    <mergeCell ref="X244:X248"/>
    <mergeCell ref="X214:X218"/>
    <mergeCell ref="B202:B207"/>
    <mergeCell ref="X202:X207"/>
    <mergeCell ref="A181:A207"/>
    <mergeCell ref="B195:B201"/>
    <mergeCell ref="X195:X201"/>
    <mergeCell ref="B188:B194"/>
    <mergeCell ref="X188:X194"/>
    <mergeCell ref="N181:N207"/>
    <mergeCell ref="C181:C207"/>
    <mergeCell ref="A214:A218"/>
    <mergeCell ref="B214:B218"/>
    <mergeCell ref="C214:C218"/>
    <mergeCell ref="N214:N218"/>
    <mergeCell ref="A219:A223"/>
    <mergeCell ref="B219:B223"/>
    <mergeCell ref="C219:C223"/>
    <mergeCell ref="N219:N223"/>
    <mergeCell ref="X219:X223"/>
    <mergeCell ref="A229:A233"/>
    <mergeCell ref="B229:B233"/>
    <mergeCell ref="C229:C233"/>
    <mergeCell ref="N229:N233"/>
    <mergeCell ref="A101:A144"/>
    <mergeCell ref="A145:A180"/>
    <mergeCell ref="B110:B115"/>
    <mergeCell ref="B116:B123"/>
    <mergeCell ref="B124:B129"/>
    <mergeCell ref="A254:A259"/>
    <mergeCell ref="B254:B259"/>
    <mergeCell ref="C254:C259"/>
    <mergeCell ref="N254:N259"/>
    <mergeCell ref="B208:B213"/>
    <mergeCell ref="C208:C213"/>
    <mergeCell ref="A208:A213"/>
    <mergeCell ref="A234:A238"/>
    <mergeCell ref="B234:B238"/>
    <mergeCell ref="C234:C238"/>
    <mergeCell ref="N234:N238"/>
    <mergeCell ref="A249:A253"/>
    <mergeCell ref="B249:B253"/>
    <mergeCell ref="C249:C253"/>
    <mergeCell ref="N249:N253"/>
    <mergeCell ref="A244:A248"/>
    <mergeCell ref="B244:B248"/>
    <mergeCell ref="C244:C248"/>
    <mergeCell ref="N244:N248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1E9347B0A4A294592E64A10D1ED4740" ma:contentTypeVersion="11" ma:contentTypeDescription="建立新的文件。" ma:contentTypeScope="" ma:versionID="4cef82e1462213438104dbe2333774c3">
  <xsd:schema xmlns:xsd="http://www.w3.org/2001/XMLSchema" xmlns:xs="http://www.w3.org/2001/XMLSchema" xmlns:p="http://schemas.microsoft.com/office/2006/metadata/properties" xmlns:ns2="cd3b4d2a-cc92-4b2b-b54c-accb456cbd96" xmlns:ns3="864a4215-ff04-42bf-a050-e031af2ce6bd" targetNamespace="http://schemas.microsoft.com/office/2006/metadata/properties" ma:root="true" ma:fieldsID="ff36aea65b20bf0033129dd98127ad93" ns2:_="" ns3:_="">
    <xsd:import namespace="cd3b4d2a-cc92-4b2b-b54c-accb456cbd96"/>
    <xsd:import namespace="864a4215-ff04-42bf-a050-e031af2ce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b4d2a-cc92-4b2b-b54c-accb456cb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3bf8276-0dd5-447a-a23c-a089cbd88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a4215-ff04-42bf-a050-e031af2ce6b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0227fd-902f-4a60-81e4-286c0507709c}" ma:internalName="TaxCatchAll" ma:showField="CatchAllData" ma:web="864a4215-ff04-42bf-a050-e031af2ce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3b4d2a-cc92-4b2b-b54c-accb456cbd96">
      <Terms xmlns="http://schemas.microsoft.com/office/infopath/2007/PartnerControls"/>
    </lcf76f155ced4ddcb4097134ff3c332f>
    <TaxCatchAll xmlns="864a4215-ff04-42bf-a050-e031af2ce6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CB03A-9087-4E02-92C2-0A6FA3A77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3b4d2a-cc92-4b2b-b54c-accb456cbd96"/>
    <ds:schemaRef ds:uri="864a4215-ff04-42bf-a050-e031af2ce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52F86B-737B-402B-A425-3D70927CB573}">
  <ds:schemaRefs>
    <ds:schemaRef ds:uri="http://schemas.microsoft.com/office/2006/metadata/properties"/>
    <ds:schemaRef ds:uri="http://schemas.microsoft.com/office/infopath/2007/PartnerControls"/>
    <ds:schemaRef ds:uri="cd3b4d2a-cc92-4b2b-b54c-accb456cbd96"/>
    <ds:schemaRef ds:uri="864a4215-ff04-42bf-a050-e031af2ce6bd"/>
  </ds:schemaRefs>
</ds:datastoreItem>
</file>

<file path=customXml/itemProps3.xml><?xml version="1.0" encoding="utf-8"?>
<ds:datastoreItem xmlns:ds="http://schemas.openxmlformats.org/officeDocument/2006/customXml" ds:itemID="{26B9F3E8-8E13-47E2-A7D3-957F8947A0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主機配置表_正式</vt:lpstr>
      <vt:lpstr>主機配置表_備援</vt:lpstr>
      <vt:lpstr>主機配置表_整測</vt:lpstr>
      <vt:lpstr>公式</vt:lpstr>
      <vt:lpstr>硬體管理配置表</vt:lpstr>
      <vt:lpstr>主機命名規則</vt:lpstr>
      <vt:lpstr>主機磁碟配置</vt:lpstr>
      <vt:lpstr>主機配置表(備份)</vt:lpstr>
      <vt:lpstr>Xen主機資訊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arnold chen</dc:creator>
  <cp:keywords/>
  <dc:description/>
  <cp:lastModifiedBy>顯稜 董</cp:lastModifiedBy>
  <cp:revision/>
  <dcterms:created xsi:type="dcterms:W3CDTF">2013-06-21T06:57:07Z</dcterms:created>
  <dcterms:modified xsi:type="dcterms:W3CDTF">2025-04-21T10:13:47Z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0x01010051E9347B0A4A294592E64A10D1ED4740</vt:lpwstr>
  </property>
  <property fmtid="{D5CDD505-2E9C-101B-9397-08002B2CF9AE}" pid="3" name="MediaServiceImageTags">
    <vt:lpwstr/>
  </property>
</Properties>
</file>