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yms\"/>
    </mc:Choice>
  </mc:AlternateContent>
  <xr:revisionPtr revIDLastSave="0" documentId="13_ncr:1_{96BD4403-2749-4D5F-863C-3C997538BF19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WBS" sheetId="2" r:id="rId1"/>
    <sheet name="WBS 成員進度管制表" sheetId="3" r:id="rId2"/>
    <sheet name="進度管制表" sheetId="1" r:id="rId3"/>
    <sheet name="YMS內部議題追蹤" sheetId="4" r:id="rId4"/>
  </sheets>
  <definedNames>
    <definedName name="_xlnm._FilterDatabase" localSheetId="0" hidden="1">WBS!$A$1:$K$61</definedName>
    <definedName name="_xlnm._FilterDatabase" localSheetId="3" hidden="1">YMS內部議題追蹤!$A$1:$J$4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B5" i="1"/>
  <c r="B3" i="3"/>
  <c r="J35" i="2"/>
  <c r="J23" i="2"/>
  <c r="F3" i="3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4" i="2"/>
  <c r="J25" i="2"/>
  <c r="J26" i="2"/>
  <c r="J27" i="2"/>
  <c r="J28" i="2"/>
  <c r="J29" i="2"/>
  <c r="J30" i="2"/>
  <c r="J31" i="2"/>
  <c r="J32" i="2"/>
  <c r="J33" i="2"/>
  <c r="J34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2" i="2"/>
  <c r="L5" i="1" l="1"/>
  <c r="K5" i="1"/>
  <c r="K3" i="3"/>
  <c r="H5" i="1"/>
  <c r="I5" i="1" s="1"/>
  <c r="C3" i="3"/>
  <c r="G3" i="3" s="1"/>
  <c r="H3" i="3"/>
  <c r="I3" i="3" s="1"/>
  <c r="C5" i="1"/>
  <c r="G5" i="1" s="1"/>
  <c r="L3" i="3"/>
  <c r="B1" i="1"/>
  <c r="E3" i="3" s="1" a="1"/>
  <c r="E3" i="3" s="1"/>
  <c r="E5" i="1" l="1"/>
  <c r="D3" i="3" a="1"/>
  <c r="D3" i="3" s="1"/>
  <c r="H1" i="1"/>
  <c r="F1" i="1"/>
  <c r="J5" i="1" l="1"/>
  <c r="J3" i="3"/>
  <c r="D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<sst xmlns="http://schemas.openxmlformats.org/spreadsheetml/2006/main" count="357" uniqueCount="119">
  <si>
    <t>序號</t>
    <phoneticPr fontId="3" type="noConversion"/>
  </si>
  <si>
    <t>工作項目</t>
    <phoneticPr fontId="3" type="noConversion"/>
  </si>
  <si>
    <t>隸屬系統</t>
  </si>
  <si>
    <t>預計開始日期</t>
    <phoneticPr fontId="3" type="noConversion"/>
  </si>
  <si>
    <t>預計完成日期</t>
    <phoneticPr fontId="5" type="noConversion"/>
  </si>
  <si>
    <t>實際開始日期</t>
    <phoneticPr fontId="3" type="noConversion"/>
  </si>
  <si>
    <t>實際完成日期</t>
    <phoneticPr fontId="5" type="noConversion"/>
  </si>
  <si>
    <t>Owner</t>
    <phoneticPr fontId="3" type="noConversion"/>
  </si>
  <si>
    <t>協助者</t>
    <phoneticPr fontId="3" type="noConversion"/>
  </si>
  <si>
    <t>進度</t>
    <phoneticPr fontId="5" type="noConversion"/>
  </si>
  <si>
    <t>說明</t>
    <phoneticPr fontId="5" type="noConversion"/>
  </si>
  <si>
    <t>開發 YMS302W 抽選稽核紀錄 (YMS302P8)</t>
  </si>
  <si>
    <t>YMS</t>
  </si>
  <si>
    <t>莊勝淵</t>
  </si>
  <si>
    <t>陸德軒</t>
  </si>
  <si>
    <t>應用系統YMS開發測試</t>
  </si>
  <si>
    <t>初測 YMS302W 抽選稽核紀錄 (YMS302P8)</t>
  </si>
  <si>
    <t>修正初測問題 YMS302W 抽選稽核紀錄 (YMS302P8)</t>
  </si>
  <si>
    <t>開發 YMS302W 抽選稽核紀錄 (YMS302P14)</t>
  </si>
  <si>
    <t>初測 YMS302W 抽選稽核紀錄 (YMS302P14)</t>
  </si>
  <si>
    <t>修正初測問題 YMS302W 抽選稽核紀錄 (YMS302P14)</t>
  </si>
  <si>
    <t>開發 YMS302W 抽選稽核紀錄 (YMS302P15)</t>
  </si>
  <si>
    <t>初測 YMS302W 抽選稽核紀錄 (YMS302P15)</t>
  </si>
  <si>
    <t>修正初測問題  YMS302W 抽選稽核紀錄 (YMS302P15)</t>
  </si>
  <si>
    <t>開發 YMS302W 抽選稽核紀錄 (YMS302P16)</t>
  </si>
  <si>
    <t>初測 YMS302W 抽選稽核紀錄 (YMS302P16)</t>
  </si>
  <si>
    <t>修正初測問題 YMS302W 抽選稽核紀錄 (YMS302P16)</t>
  </si>
  <si>
    <t>開發 YMS302W 抽選稽核紀錄 (YMS302P17)</t>
  </si>
  <si>
    <t>初測 YMS302W 抽選稽核紀錄 (YMS302P17)</t>
  </si>
  <si>
    <t>修正初測問題  YMS302W 抽選稽核紀錄 (YMS302P17)</t>
  </si>
  <si>
    <t>開發 YMS302W 抽選稽核紀錄 (YMS302P51)</t>
  </si>
  <si>
    <t>初測 YMS302W 抽選稽核紀錄 (YMS302P51)</t>
  </si>
  <si>
    <t>修正初測問題  YMS302W 抽選稽核紀錄 (YMS302P51)</t>
  </si>
  <si>
    <t>開發 YMS302W 抽選稽核紀錄 (YMS302P52)</t>
  </si>
  <si>
    <t>初測 YMS302W 抽選稽核紀錄 (YMS302P52)</t>
  </si>
  <si>
    <t>修正初測問題 YMS302W 抽選稽核紀錄 (YMS302P52)</t>
  </si>
  <si>
    <t>開發 YMS305W 設定系統別</t>
  </si>
  <si>
    <t>初測 YMS305W 設定系統別</t>
  </si>
  <si>
    <t>修正初測問題 YMS305W 設定系統別</t>
  </si>
  <si>
    <t>開發 YMS310W 設定篩選筆數上限</t>
  </si>
  <si>
    <t>初測 YMS310W 設定篩選筆數上限</t>
  </si>
  <si>
    <t>修正初測問題 YMS310W 設定篩選筆數上限</t>
  </si>
  <si>
    <t>開發 YMS313W 上傳資料權限設定檔</t>
  </si>
  <si>
    <t>初測 YMS313W 上傳資料權限設定檔</t>
  </si>
  <si>
    <t>修正初測問題 YMS313W 上傳資料權限設定檔</t>
  </si>
  <si>
    <t>開發 YMS502E 作業紀錄稽核說明表</t>
  </si>
  <si>
    <t>初測 YMS502E 作業紀錄稽核說明表</t>
  </si>
  <si>
    <t>修正初測問題 YMS502E 作業紀錄稽核說明表</t>
  </si>
  <si>
    <t>開發 YMS610X 定期清檔排程</t>
  </si>
  <si>
    <t>陳珮姍</t>
  </si>
  <si>
    <t>初測 YMS610X 定期清檔排程</t>
  </si>
  <si>
    <t>1.程式開發好佈到乙測出現程式執行環境無法執行shell的錯誤，已與YCM反應再請YCM協助說明要如何處理，影響YMS這個功能開發好佈到乙測無法測試，照預定時程有延遲的狀況。
2.不使用shell，修改YMS程式。</t>
  </si>
  <si>
    <t>修正初測問題 YMS610X 定期清檔排程</t>
  </si>
  <si>
    <t>開發 YMS611X 集中刪檔排程</t>
  </si>
  <si>
    <t>初測 YMS611X 集中刪檔排程</t>
  </si>
  <si>
    <t>修正初測問題 YMS611X 集中刪檔排程</t>
  </si>
  <si>
    <t>開發 YMS708L YMS302P8報表產製</t>
  </si>
  <si>
    <t>初測 YMS708L YMS302P8報表產製</t>
  </si>
  <si>
    <t>修正初測問題 YMS708L YMS302P8報表產製</t>
  </si>
  <si>
    <t>開發 YMS714L YMS302P14報表產製</t>
  </si>
  <si>
    <t>初測 YMS714L YMS302P14報表產製</t>
  </si>
  <si>
    <t>修正初測問題 YMS714L YMS302P14報表產製</t>
  </si>
  <si>
    <t>開發 YMS715L YMS302P15報表產製</t>
  </si>
  <si>
    <t>初測 YMS715L YMS302P15報表產製</t>
  </si>
  <si>
    <t>修正初測問題 YMS715L YMS302P15報表產製</t>
  </si>
  <si>
    <t>開發 YMS716L YMS302P16報表產製</t>
  </si>
  <si>
    <t>初測 YMS716L YMS302P16報表產製</t>
  </si>
  <si>
    <t>修正初測問題 YMS716L YMS302P16報表產製</t>
  </si>
  <si>
    <t>開發 YMS717L YMS302P17報表產製</t>
  </si>
  <si>
    <t>初測 YMS717L YMS302P17報表產製</t>
  </si>
  <si>
    <t>修正初測問題 YMS717L YMS302P17報表產製</t>
  </si>
  <si>
    <t>開發 YMS751L YMS302P51報表產製</t>
  </si>
  <si>
    <t>初測 YMS751L YMS302P51報表產製</t>
  </si>
  <si>
    <t>修正初測問題 YMS751L YMS302P51報表產製</t>
  </si>
  <si>
    <t>開發 YMS752L YMS302P52報表產製</t>
  </si>
  <si>
    <t>初測 YMS752L YMS302P52報表產製</t>
  </si>
  <si>
    <t>修正初測問題 YMS752L YMS302P52報表產製</t>
  </si>
  <si>
    <t>列標籤</t>
  </si>
  <si>
    <t>計數 - 總工項數</t>
    <phoneticPr fontId="5" type="noConversion"/>
  </si>
  <si>
    <t>計數 -累計已完成工項數</t>
    <phoneticPr fontId="5" type="noConversion"/>
  </si>
  <si>
    <t xml:space="preserve"> 本周應完成工項數</t>
    <phoneticPr fontId="5" type="noConversion"/>
  </si>
  <si>
    <t>本周已完成工項數</t>
    <phoneticPr fontId="5" type="noConversion"/>
  </si>
  <si>
    <t>累計應完成工項數</t>
    <phoneticPr fontId="5" type="noConversion"/>
  </si>
  <si>
    <t>SPI
(累計已完成工項數/累計應完成工項數)</t>
    <phoneticPr fontId="5" type="noConversion"/>
  </si>
  <si>
    <t>總落後工項數</t>
    <phoneticPr fontId="5" type="noConversion"/>
  </si>
  <si>
    <t>落後百分比
(總落後工項數/
總工項數)</t>
    <phoneticPr fontId="5" type="noConversion"/>
  </si>
  <si>
    <t>下周應完成工項數</t>
    <phoneticPr fontId="5" type="noConversion"/>
  </si>
  <si>
    <t>剩餘工項數</t>
    <phoneticPr fontId="5" type="noConversion"/>
  </si>
  <si>
    <t>提前完成工項數</t>
    <phoneticPr fontId="5" type="noConversion"/>
  </si>
  <si>
    <t>本周統計起日</t>
  </si>
  <si>
    <t>本周統計迄日</t>
  </si>
  <si>
    <t>下周統計迄日</t>
    <phoneticPr fontId="5" type="noConversion"/>
  </si>
  <si>
    <t>周天數</t>
    <phoneticPr fontId="5" type="noConversion"/>
  </si>
  <si>
    <r>
      <rPr>
        <sz val="10"/>
        <color rgb="FF000000"/>
        <rFont val="新細明體"/>
        <family val="3"/>
        <charset val="136"/>
        <scheme val="minor"/>
      </rPr>
      <t>應用系統</t>
    </r>
    <r>
      <rPr>
        <sz val="10"/>
        <color rgb="FF000000"/>
        <rFont val="新細明體"/>
        <family val="2"/>
        <scheme val="minor"/>
      </rPr>
      <t>YMS</t>
    </r>
    <r>
      <rPr>
        <sz val="10"/>
        <color rgb="FF000000"/>
        <rFont val="新細明體"/>
        <family val="3"/>
        <charset val="136"/>
        <scheme val="minor"/>
      </rPr>
      <t>開發測試</t>
    </r>
  </si>
  <si>
    <r>
      <rPr>
        <sz val="12"/>
        <color rgb="FF000000"/>
        <rFont val="Microsoft JhengHei"/>
        <family val="2"/>
      </rPr>
      <t>程式佈到</t>
    </r>
    <r>
      <rPr>
        <sz val="12"/>
        <color rgb="FF000000"/>
        <rFont val="微軟正黑體"/>
        <family val="2"/>
        <charset val="136"/>
      </rPr>
      <t>乙測</t>
    </r>
    <r>
      <rPr>
        <sz val="12"/>
        <color rgb="FF000000"/>
        <rFont val="Microsoft JhengHei"/>
        <family val="2"/>
      </rPr>
      <t>連線</t>
    </r>
    <r>
      <rPr>
        <sz val="12"/>
        <color rgb="FF000000"/>
        <rFont val="Calibri"/>
        <family val="2"/>
      </rPr>
      <t>arcsight</t>
    </r>
    <r>
      <rPr>
        <sz val="12"/>
        <color rgb="FF000000"/>
        <rFont val="微軟正黑體"/>
        <family val="2"/>
        <charset val="136"/>
      </rPr>
      <t>不通，無法測試</t>
    </r>
    <phoneticPr fontId="3" type="noConversion"/>
  </si>
  <si>
    <t>序號</t>
  </si>
  <si>
    <t>分組</t>
  </si>
  <si>
    <t>提出日期</t>
  </si>
  <si>
    <t>議題紀要</t>
  </si>
  <si>
    <t>預定完成日期</t>
  </si>
  <si>
    <t>執行現況說明</t>
  </si>
  <si>
    <t>負責人</t>
  </si>
  <si>
    <t>執行狀態</t>
  </si>
  <si>
    <t>實際完成日期</t>
  </si>
  <si>
    <t>備註</t>
  </si>
  <si>
    <t>系統開發維護組</t>
    <phoneticPr fontId="3" type="noConversion"/>
  </si>
  <si>
    <t>乙測arcsight環境仍有問題，無法使用，影響YMS程式無法開發的問題。請培棠與中華資安協助處理，確認是arcsight軟體問題還是乙測AWS環境問題。
1. 乙測arcsight依照文腕提供的api文件打打不通: 錯誤訊息顯示arcsight server出現SSLHandshakeException錯誤。
2. arcsight是YMS使用的稽核紀錄資料庫，資料庫無法使用，影響YMS 10個功能，45個工項無法進行開發。</t>
    <phoneticPr fontId="3" type="noConversion"/>
  </si>
  <si>
    <t>5/29
1.連線問題經中華資安排除已可連線。
2.文腕回覆憑證要找原廠一起解決，正式環境肯定會遇到這問題，他們會再追蹤。此項目建請結案，後續在中華資安WBS列管追蹤。
5/26
乙測arcsight自5/23下午至今都連不到(ERR_CONNECTION_TIMED_OUT)，請中華資安協助確認arcsight服務狀態是否正常。
5/23
經中華資安重新產製安裝憑證後，開發電腦已可正常連線arcsight。問題如第1點說明，解決方式如第2點說明，排除方式已提供培棠與中華資安參考，後續其他環境的調整再請培棠與中華資安討論進行調整。
1. 經培棠與中華資安莊祥豪確認，現在只要arcsight掛外部產的憑證，執行測試程式就會收到arcsight server回應ssl連線錯誤的錯誤訊息。
2. 中華資安重新產軟體自簽憑證，執行連線測試程式仍出現ssl連線錯誤，於開發電腦執行兩個步驟跳過Java憑證檢核，開發電腦/測試程式已可正常連線arcsight。
3. 後續請培棠與中華資安討論，乙測和甲方環境怎麼調整，讓YMS程式佈上去後能正常連線乙測和甲方環境arcsight server。</t>
    <phoneticPr fontId="3" type="noConversion"/>
  </si>
  <si>
    <t>黃培棠
林文腕</t>
    <phoneticPr fontId="3" type="noConversion"/>
  </si>
  <si>
    <r>
      <t xml:space="preserve">2025/6/13
</t>
    </r>
    <r>
      <rPr>
        <strike/>
        <sz val="14"/>
        <color theme="1"/>
        <rFont val="微軟正黑體"/>
        <family val="2"/>
        <charset val="136"/>
      </rPr>
      <t>2025/6/2</t>
    </r>
    <phoneticPr fontId="3" type="noConversion"/>
  </si>
  <si>
    <t>處理中</t>
    <phoneticPr fontId="3" type="noConversion"/>
  </si>
  <si>
    <t>乙測YCM批次程式執行環境無法執行shell，請YCM協助處理。</t>
    <phoneticPr fontId="3" type="noConversion"/>
  </si>
  <si>
    <t>5/29
YCM與標準組討論中尚未定案，5/26經棠鈞科長決議，YMS此功能改成用Java程式處理，不使用shell指令處理。已於5/27完成YMS程式之修改，追趕上進度。請項目建請結案。
5/21
1. YMS610X程式開發好佈到乙測出現"程式執行環境無法執行shell的錯誤"，已與YCM反應再請YCM協助看要怎麼處理。
2. 影響YMS這個功能開發好佈到乙測無法測試，照預定時程有延遲的狀況。</t>
    <phoneticPr fontId="3" type="noConversion"/>
  </si>
  <si>
    <t>蕭勝文
何建興</t>
    <phoneticPr fontId="3" type="noConversion"/>
  </si>
  <si>
    <t>已結案</t>
    <phoneticPr fontId="3" type="noConversion"/>
  </si>
  <si>
    <t>SDP 自動產檔寫入 ArcSight 的進度追蹤:
SDP尚未提供完成應用程式稽核紀錄之寫入，請標準組協助處理。本案應用系統稽核軌跡紀錄由SDP寫入並傳送至arcsight，YMS負責讀產生稽核報表。</t>
    <phoneticPr fontId="3" type="noConversion"/>
  </si>
  <si>
    <t xml:space="preserve">6/6 SDP無更新進度，最後問到的進度與5/29相同: 標準組還在調整，尚未完成。
5/29
1. deviceFacility和devicePayloadId這兩個欄位用arcsight介面查會出現Invalid field name的錯誤。經中華資安處理後問題已排除。
2. SDP寫入的欄位值不正確的問題，標準組已修正一版程式，問題是否修正還要等SDP能自動產出APDB日誌檔，中華資料才能抓檔寫入arcsight。標準組還在調整，此項目無法於預定日期完成建請展延至6/13完成。
</t>
    <phoneticPr fontId="3" type="noConversion"/>
  </si>
  <si>
    <t>程式佈到乙測連線arcsight不通，導致無法於乙測進行YMS功能測試與文件製作。</t>
    <phoneticPr fontId="3" type="noConversion"/>
  </si>
  <si>
    <t>6/5
1. 培棠表示為ArcSight憑證問題，文腕表示他們問完原廠原廠說是中華乙測環境的問題，非ArcSight軟體問題。
2. 請標準組與中華資安討論一下看問題在哪裡如何處理。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</si>
</sst>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_);[Red]\(0\)"/>
    <numFmt numFmtId="177" formatCode="yyyy/mm/dd"/>
    <numFmt numFmtId="178" formatCode="_-* #,##0_-;\-* #,##0_-;_-* &quot;-&quot;??_-;_-@_-"/>
  </numFmts>
  <fonts count="2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000000"/>
      <name val="Microsoft JhengHei"/>
      <family val="2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000000"/>
      <name val="Microsoft JhengHei"/>
      <family val="2"/>
      <charset val="136"/>
    </font>
    <font>
      <sz val="12"/>
      <color rgb="FF000000"/>
      <name val="標楷體"/>
      <family val="4"/>
      <charset val="136"/>
    </font>
    <font>
      <sz val="12"/>
      <name val="標楷體"/>
      <family val="4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color rgb="FF000000"/>
      <name val="新細明體"/>
      <family val="1"/>
      <charset val="136"/>
      <scheme val="minor"/>
    </font>
    <font>
      <sz val="10"/>
      <color rgb="FF000000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4"/>
      <color rgb="FF000000"/>
      <name val="微軟正黑體"/>
      <family val="2"/>
      <charset val="136"/>
    </font>
    <font>
      <sz val="14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14"/>
      <color theme="1"/>
      <name val="Microsoft JhengHei"/>
      <family val="2"/>
      <charset val="136"/>
    </font>
    <font>
      <strike/>
      <sz val="14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/>
    <xf numFmtId="0" fontId="13" fillId="0" borderId="0"/>
    <xf numFmtId="0" fontId="1" fillId="0" borderId="0">
      <alignment vertical="center"/>
    </xf>
    <xf numFmtId="0" fontId="13" fillId="0" borderId="0"/>
    <xf numFmtId="43" fontId="1" fillId="0" borderId="0" applyFont="0" applyFill="0" applyBorder="0" applyAlignment="0" applyProtection="0">
      <alignment vertical="center"/>
    </xf>
    <xf numFmtId="0" fontId="18" fillId="0" borderId="0"/>
  </cellStyleXfs>
  <cellXfs count="58">
    <xf numFmtId="0" fontId="0" fillId="0" borderId="0" xfId="0">
      <alignment vertical="center"/>
    </xf>
    <xf numFmtId="0" fontId="2" fillId="0" borderId="1" xfId="1" applyFont="1" applyBorder="1" applyAlignment="1"/>
    <xf numFmtId="14" fontId="4" fillId="0" borderId="1" xfId="0" applyNumberFormat="1" applyFont="1" applyBorder="1" applyAlignment="1"/>
    <xf numFmtId="0" fontId="2" fillId="2" borderId="1" xfId="1" applyFont="1" applyFill="1" applyBorder="1" applyAlignment="1"/>
    <xf numFmtId="14" fontId="4" fillId="2" borderId="1" xfId="0" applyNumberFormat="1" applyFont="1" applyFill="1" applyBorder="1" applyAlignment="1"/>
    <xf numFmtId="0" fontId="1" fillId="0" borderId="0" xfId="1" applyAlignment="1"/>
    <xf numFmtId="0" fontId="0" fillId="0" borderId="0" xfId="0" applyAlignment="1"/>
    <xf numFmtId="0" fontId="6" fillId="0" borderId="1" xfId="0" applyFont="1" applyBorder="1" applyAlignment="1"/>
    <xf numFmtId="0" fontId="4" fillId="0" borderId="1" xfId="0" applyFont="1" applyBorder="1" applyAlignment="1"/>
    <xf numFmtId="0" fontId="2" fillId="0" borderId="0" xfId="1" applyFont="1" applyAlignment="1"/>
    <xf numFmtId="176" fontId="4" fillId="0" borderId="0" xfId="1" applyNumberFormat="1" applyFont="1" applyAlignment="1"/>
    <xf numFmtId="14" fontId="4" fillId="0" borderId="0" xfId="1" applyNumberFormat="1" applyFont="1" applyAlignment="1"/>
    <xf numFmtId="0" fontId="4" fillId="0" borderId="0" xfId="1" applyFont="1" applyAlignment="1"/>
    <xf numFmtId="177" fontId="4" fillId="0" borderId="0" xfId="1" applyNumberFormat="1" applyFont="1" applyAlignment="1"/>
    <xf numFmtId="0" fontId="7" fillId="0" borderId="1" xfId="1" applyFont="1" applyBorder="1" applyAlignment="1"/>
    <xf numFmtId="0" fontId="9" fillId="0" borderId="0" xfId="3"/>
    <xf numFmtId="0" fontId="7" fillId="0" borderId="1" xfId="1" applyFont="1" applyBorder="1">
      <alignment vertical="center"/>
    </xf>
    <xf numFmtId="0" fontId="7" fillId="4" borderId="1" xfId="1" applyFont="1" applyFill="1" applyBorder="1">
      <alignment vertical="center"/>
    </xf>
    <xf numFmtId="0" fontId="8" fillId="3" borderId="1" xfId="1" applyFont="1" applyFill="1" applyBorder="1" applyAlignment="1">
      <alignment horizontal="right" vertical="center"/>
    </xf>
    <xf numFmtId="0" fontId="8" fillId="3" borderId="1" xfId="1" applyFont="1" applyFill="1" applyBorder="1" applyAlignment="1">
      <alignment horizontal="center" vertical="center" wrapText="1"/>
    </xf>
    <xf numFmtId="0" fontId="1" fillId="0" borderId="0" xfId="1">
      <alignment vertical="center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/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/>
    <xf numFmtId="2" fontId="7" fillId="0" borderId="1" xfId="1" applyNumberFormat="1" applyFont="1" applyBorder="1" applyAlignment="1"/>
    <xf numFmtId="0" fontId="12" fillId="0" borderId="1" xfId="2" applyFont="1" applyBorder="1"/>
    <xf numFmtId="0" fontId="15" fillId="0" borderId="1" xfId="5" applyFont="1" applyBorder="1">
      <alignment vertical="center"/>
    </xf>
    <xf numFmtId="14" fontId="15" fillId="0" borderId="1" xfId="5" applyNumberFormat="1" applyFont="1" applyBorder="1">
      <alignment vertical="center"/>
    </xf>
    <xf numFmtId="0" fontId="16" fillId="0" borderId="1" xfId="4" applyFont="1" applyBorder="1"/>
    <xf numFmtId="0" fontId="12" fillId="0" borderId="1" xfId="5" applyFont="1" applyBorder="1">
      <alignment vertical="center"/>
    </xf>
    <xf numFmtId="0" fontId="7" fillId="0" borderId="0" xfId="2" applyFont="1"/>
    <xf numFmtId="0" fontId="12" fillId="0" borderId="0" xfId="0" applyFont="1" applyAlignment="1"/>
    <xf numFmtId="0" fontId="12" fillId="0" borderId="0" xfId="0" applyFont="1" applyAlignment="1">
      <alignment horizontal="center"/>
    </xf>
    <xf numFmtId="0" fontId="4" fillId="0" borderId="0" xfId="2" applyFont="1"/>
    <xf numFmtId="178" fontId="7" fillId="0" borderId="1" xfId="7" applyNumberFormat="1" applyFont="1" applyBorder="1" applyAlignment="1"/>
    <xf numFmtId="178" fontId="7" fillId="0" borderId="1" xfId="7" applyNumberFormat="1" applyFont="1" applyBorder="1">
      <alignment vertical="center"/>
    </xf>
    <xf numFmtId="43" fontId="7" fillId="0" borderId="1" xfId="7" applyFont="1" applyBorder="1">
      <alignment vertical="center"/>
    </xf>
    <xf numFmtId="43" fontId="7" fillId="0" borderId="1" xfId="7" applyFont="1" applyBorder="1" applyAlignment="1"/>
    <xf numFmtId="176" fontId="7" fillId="0" borderId="1" xfId="7" applyNumberFormat="1" applyFont="1" applyBorder="1" applyAlignment="1"/>
    <xf numFmtId="0" fontId="9" fillId="0" borderId="0" xfId="3" applyAlignment="1">
      <alignment wrapText="1"/>
    </xf>
    <xf numFmtId="0" fontId="19" fillId="0" borderId="1" xfId="8" applyFont="1" applyBorder="1" applyAlignment="1">
      <alignment horizontal="center" vertical="center"/>
    </xf>
    <xf numFmtId="14" fontId="19" fillId="0" borderId="1" xfId="8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21" fillId="0" borderId="1" xfId="0" applyFont="1" applyBorder="1">
      <alignment vertical="center"/>
    </xf>
    <xf numFmtId="14" fontId="21" fillId="0" borderId="1" xfId="0" applyNumberFormat="1" applyFont="1" applyBorder="1">
      <alignment vertical="center"/>
    </xf>
    <xf numFmtId="0" fontId="21" fillId="0" borderId="1" xfId="0" applyFont="1" applyBorder="1" applyAlignment="1">
      <alignment vertical="center" wrapText="1"/>
    </xf>
    <xf numFmtId="0" fontId="22" fillId="0" borderId="1" xfId="0" applyFont="1" applyBorder="1">
      <alignment vertical="center"/>
    </xf>
    <xf numFmtId="14" fontId="21" fillId="0" borderId="1" xfId="0" applyNumberFormat="1" applyFont="1" applyBorder="1" applyAlignment="1">
      <alignment horizontal="right" vertical="center" wrapText="1"/>
    </xf>
    <xf numFmtId="0" fontId="15" fillId="2" borderId="1" xfId="5" applyFont="1" applyFill="1" applyBorder="1">
      <alignment vertical="center"/>
    </xf>
    <xf numFmtId="14" fontId="15" fillId="2" borderId="1" xfId="5" applyNumberFormat="1" applyFont="1" applyFill="1" applyBorder="1">
      <alignment vertical="center"/>
    </xf>
    <xf numFmtId="0" fontId="12" fillId="2" borderId="1" xfId="0" applyFont="1" applyFill="1" applyBorder="1" applyAlignment="1"/>
    <xf numFmtId="0" fontId="12" fillId="2" borderId="1" xfId="0" applyFont="1" applyFill="1" applyBorder="1" applyAlignment="1">
      <alignment wrapText="1"/>
    </xf>
    <xf numFmtId="0" fontId="16" fillId="2" borderId="1" xfId="4" applyFont="1" applyFill="1" applyBorder="1"/>
    <xf numFmtId="0" fontId="7" fillId="2" borderId="0" xfId="2" applyFont="1" applyFill="1"/>
  </cellXfs>
  <cellStyles count="9">
    <cellStyle name="一般" xfId="0" builtinId="0"/>
    <cellStyle name="一般 2" xfId="1" xr:uid="{00000000-0005-0000-0000-000001000000}"/>
    <cellStyle name="一般 2 2" xfId="5" xr:uid="{00000000-0005-0000-0000-000002000000}"/>
    <cellStyle name="一般 2 3" xfId="4" xr:uid="{00000000-0005-0000-0000-000003000000}"/>
    <cellStyle name="一般 3" xfId="2" xr:uid="{00000000-0005-0000-0000-000004000000}"/>
    <cellStyle name="一般 3 2" xfId="6" xr:uid="{00000000-0005-0000-0000-000005000000}"/>
    <cellStyle name="一般 4" xfId="3" xr:uid="{00000000-0005-0000-0000-000006000000}"/>
    <cellStyle name="一般 5" xfId="8" xr:uid="{6D5097A0-5EA0-4F6B-A949-3E7FACC65EC5}"/>
    <cellStyle name="千分位" xfId="7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61"/>
  <sheetViews>
    <sheetView zoomScale="80" zoomScaleNormal="80" workbookViewId="0">
      <pane ySplit="1" topLeftCell="A36" activePane="bottomLeft" state="frozen"/>
      <selection activeCell="B6" sqref="B6:K58"/>
      <selection pane="bottomLeft" activeCell="F42" sqref="F42"/>
    </sheetView>
  </sheetViews>
  <sheetFormatPr defaultColWidth="7.6328125" defaultRowHeight="20.149999999999999" customHeight="1"/>
  <cols>
    <col min="1" max="1" width="7.08984375" style="33" customWidth="1"/>
    <col min="2" max="2" width="57.26953125" style="32" customWidth="1"/>
    <col min="3" max="3" width="11.90625" style="32" customWidth="1"/>
    <col min="4" max="4" width="18.08984375" style="32" customWidth="1"/>
    <col min="5" max="5" width="16.453125" style="32" customWidth="1"/>
    <col min="6" max="7" width="15.453125" style="32" customWidth="1"/>
    <col min="8" max="8" width="12.08984375" style="32" customWidth="1"/>
    <col min="9" max="9" width="20.7265625" style="32" customWidth="1"/>
    <col min="10" max="10" width="21.453125" style="32" customWidth="1"/>
    <col min="11" max="11" width="41.7265625" style="32" customWidth="1"/>
    <col min="12" max="16384" width="7.6328125" style="34"/>
  </cols>
  <sheetData>
    <row r="1" spans="1:12" s="31" customFormat="1" ht="20.149999999999999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4" t="s">
        <v>9</v>
      </c>
      <c r="K1" s="23" t="s">
        <v>10</v>
      </c>
      <c r="L1" s="26"/>
    </row>
    <row r="2" spans="1:12" s="31" customFormat="1" ht="20.149999999999999" customHeight="1">
      <c r="A2" s="27">
        <v>1</v>
      </c>
      <c r="B2" s="27" t="s">
        <v>11</v>
      </c>
      <c r="C2" s="27" t="s">
        <v>12</v>
      </c>
      <c r="D2" s="28">
        <v>45811</v>
      </c>
      <c r="E2" s="28">
        <v>45817</v>
      </c>
      <c r="F2" s="28">
        <v>45811</v>
      </c>
      <c r="G2" s="27"/>
      <c r="H2" s="27" t="s">
        <v>13</v>
      </c>
      <c r="I2" s="27" t="s">
        <v>14</v>
      </c>
      <c r="J2" s="22" t="str">
        <f>IF(LEN($G2)=0,IF(進度管制表!$D$1&gt;$E2,"延遲","未完成"),IF($E2=$G2,"如期完成",(IF($E2&gt;$G2,"提前完成",IF($E2&lt;$G2,"落後且完成","未完成")))))</f>
        <v>未完成</v>
      </c>
      <c r="K2" s="21"/>
      <c r="L2" s="29" t="s">
        <v>15</v>
      </c>
    </row>
    <row r="3" spans="1:12" s="31" customFormat="1" ht="20.149999999999999" hidden="1" customHeight="1">
      <c r="A3" s="27">
        <v>2</v>
      </c>
      <c r="B3" s="27" t="s">
        <v>16</v>
      </c>
      <c r="C3" s="27" t="s">
        <v>12</v>
      </c>
      <c r="D3" s="28">
        <v>45818</v>
      </c>
      <c r="E3" s="28">
        <v>45818</v>
      </c>
      <c r="F3" s="27"/>
      <c r="G3" s="27"/>
      <c r="H3" s="27" t="s">
        <v>13</v>
      </c>
      <c r="I3" s="27"/>
      <c r="J3" s="22" t="str">
        <f>IF(LEN($G3)=0,IF(進度管制表!$D$1&gt;$E3,"延遲","未完成"),IF($E3=$G3,"如期完成",(IF($E3&gt;$G3,"提前完成",IF($E3&lt;$G3,"落後且完成","未完成")))))</f>
        <v>未完成</v>
      </c>
      <c r="K3" s="21"/>
      <c r="L3" s="29" t="s">
        <v>15</v>
      </c>
    </row>
    <row r="4" spans="1:12" s="31" customFormat="1" ht="20.149999999999999" hidden="1" customHeight="1">
      <c r="A4" s="27">
        <v>3</v>
      </c>
      <c r="B4" s="27" t="s">
        <v>17</v>
      </c>
      <c r="C4" s="27" t="s">
        <v>12</v>
      </c>
      <c r="D4" s="28">
        <v>45818</v>
      </c>
      <c r="E4" s="28">
        <v>45818</v>
      </c>
      <c r="F4" s="27"/>
      <c r="G4" s="27"/>
      <c r="H4" s="27" t="s">
        <v>13</v>
      </c>
      <c r="I4" s="27" t="s">
        <v>14</v>
      </c>
      <c r="J4" s="22" t="str">
        <f>IF(LEN($G4)=0,IF(進度管制表!$D$1&gt;$E4,"延遲","未完成"),IF($E4=$G4,"如期完成",(IF($E4&gt;$G4,"提前完成",IF($E4&lt;$G4,"落後且完成","未完成")))))</f>
        <v>未完成</v>
      </c>
      <c r="K4" s="21"/>
      <c r="L4" s="29" t="s">
        <v>15</v>
      </c>
    </row>
    <row r="5" spans="1:12" s="31" customFormat="1" ht="20.149999999999999" hidden="1" customHeight="1">
      <c r="A5" s="27">
        <v>4</v>
      </c>
      <c r="B5" s="27" t="s">
        <v>18</v>
      </c>
      <c r="C5" s="27" t="s">
        <v>12</v>
      </c>
      <c r="D5" s="28">
        <v>45819</v>
      </c>
      <c r="E5" s="28">
        <v>45821</v>
      </c>
      <c r="F5" s="27"/>
      <c r="G5" s="27"/>
      <c r="H5" s="27" t="s">
        <v>13</v>
      </c>
      <c r="I5" s="30" t="s">
        <v>14</v>
      </c>
      <c r="J5" s="22" t="str">
        <f>IF(LEN($G5)=0,IF(進度管制表!$D$1&gt;$E5,"延遲","未完成"),IF($E5=$G5,"如期完成",(IF($E5&gt;$G5,"提前完成",IF($E5&lt;$G5,"落後且完成","未完成")))))</f>
        <v>未完成</v>
      </c>
      <c r="K5" s="21"/>
      <c r="L5" s="29" t="s">
        <v>15</v>
      </c>
    </row>
    <row r="6" spans="1:12" s="31" customFormat="1" ht="20.149999999999999" hidden="1" customHeight="1">
      <c r="A6" s="27">
        <v>5</v>
      </c>
      <c r="B6" s="27" t="s">
        <v>19</v>
      </c>
      <c r="C6" s="27" t="s">
        <v>12</v>
      </c>
      <c r="D6" s="28">
        <v>45824</v>
      </c>
      <c r="E6" s="28">
        <v>45824</v>
      </c>
      <c r="F6" s="27"/>
      <c r="G6" s="27"/>
      <c r="H6" s="27" t="s">
        <v>13</v>
      </c>
      <c r="I6" s="27"/>
      <c r="J6" s="22" t="str">
        <f>IF(LEN($G6)=0,IF(進度管制表!$D$1&gt;$E6,"延遲","未完成"),IF($E6=$G6,"如期完成",(IF($E6&gt;$G6,"提前完成",IF($E6&lt;$G6,"落後且完成","未完成")))))</f>
        <v>未完成</v>
      </c>
      <c r="K6" s="21"/>
      <c r="L6" s="29" t="s">
        <v>15</v>
      </c>
    </row>
    <row r="7" spans="1:12" s="31" customFormat="1" ht="20.149999999999999" hidden="1" customHeight="1">
      <c r="A7" s="27">
        <v>6</v>
      </c>
      <c r="B7" s="27" t="s">
        <v>20</v>
      </c>
      <c r="C7" s="27" t="s">
        <v>12</v>
      </c>
      <c r="D7" s="28">
        <v>45824</v>
      </c>
      <c r="E7" s="28">
        <v>45824</v>
      </c>
      <c r="F7" s="27"/>
      <c r="G7" s="27"/>
      <c r="H7" s="27" t="s">
        <v>13</v>
      </c>
      <c r="I7" s="30" t="s">
        <v>14</v>
      </c>
      <c r="J7" s="22" t="str">
        <f>IF(LEN($G7)=0,IF(進度管制表!$D$1&gt;$E7,"延遲","未完成"),IF($E7=$G7,"如期完成",(IF($E7&gt;$G7,"提前完成",IF($E7&lt;$G7,"落後且完成","未完成")))))</f>
        <v>未完成</v>
      </c>
      <c r="K7" s="21"/>
      <c r="L7" s="29" t="s">
        <v>15</v>
      </c>
    </row>
    <row r="8" spans="1:12" s="31" customFormat="1" ht="20.149999999999999" hidden="1" customHeight="1">
      <c r="A8" s="27">
        <v>7</v>
      </c>
      <c r="B8" s="27" t="s">
        <v>21</v>
      </c>
      <c r="C8" s="27" t="s">
        <v>12</v>
      </c>
      <c r="D8" s="28">
        <v>45825</v>
      </c>
      <c r="E8" s="28">
        <v>45827</v>
      </c>
      <c r="F8" s="27"/>
      <c r="G8" s="27"/>
      <c r="H8" s="27" t="s">
        <v>13</v>
      </c>
      <c r="I8" s="30" t="s">
        <v>14</v>
      </c>
      <c r="J8" s="22" t="str">
        <f>IF(LEN($G8)=0,IF(進度管制表!$D$1&gt;$E8,"延遲","未完成"),IF($E8=$G8,"如期完成",(IF($E8&gt;$G8,"提前完成",IF($E8&lt;$G8,"落後且完成","未完成")))))</f>
        <v>未完成</v>
      </c>
      <c r="K8" s="21"/>
      <c r="L8" s="29" t="s">
        <v>15</v>
      </c>
    </row>
    <row r="9" spans="1:12" s="31" customFormat="1" ht="20.149999999999999" hidden="1" customHeight="1">
      <c r="A9" s="27">
        <v>8</v>
      </c>
      <c r="B9" s="27" t="s">
        <v>22</v>
      </c>
      <c r="C9" s="27" t="s">
        <v>12</v>
      </c>
      <c r="D9" s="28">
        <v>45828</v>
      </c>
      <c r="E9" s="28">
        <v>45828</v>
      </c>
      <c r="F9" s="27"/>
      <c r="G9" s="27"/>
      <c r="H9" s="27" t="s">
        <v>13</v>
      </c>
      <c r="I9" s="27"/>
      <c r="J9" s="22" t="str">
        <f>IF(LEN($G9)=0,IF(進度管制表!$D$1&gt;$E9,"延遲","未完成"),IF($E9=$G9,"如期完成",(IF($E9&gt;$G9,"提前完成",IF($E9&lt;$G9,"落後且完成","未完成")))))</f>
        <v>未完成</v>
      </c>
      <c r="K9" s="21"/>
      <c r="L9" s="29" t="s">
        <v>15</v>
      </c>
    </row>
    <row r="10" spans="1:12" s="31" customFormat="1" ht="20.149999999999999" hidden="1" customHeight="1">
      <c r="A10" s="27">
        <v>9</v>
      </c>
      <c r="B10" s="27" t="s">
        <v>23</v>
      </c>
      <c r="C10" s="27" t="s">
        <v>12</v>
      </c>
      <c r="D10" s="28">
        <v>45828</v>
      </c>
      <c r="E10" s="28">
        <v>45828</v>
      </c>
      <c r="F10" s="27"/>
      <c r="G10" s="27"/>
      <c r="H10" s="27" t="s">
        <v>13</v>
      </c>
      <c r="I10" s="30" t="s">
        <v>14</v>
      </c>
      <c r="J10" s="22" t="str">
        <f>IF(LEN($G10)=0,IF(進度管制表!$D$1&gt;$E10,"延遲","未完成"),IF($E10=$G10,"如期完成",(IF($E10&gt;$G10,"提前完成",IF($E10&lt;$G10,"落後且完成","未完成")))))</f>
        <v>未完成</v>
      </c>
      <c r="K10" s="21"/>
      <c r="L10" s="29" t="s">
        <v>15</v>
      </c>
    </row>
    <row r="11" spans="1:12" s="31" customFormat="1" ht="20.149999999999999" hidden="1" customHeight="1">
      <c r="A11" s="27">
        <v>10</v>
      </c>
      <c r="B11" s="27" t="s">
        <v>24</v>
      </c>
      <c r="C11" s="27" t="s">
        <v>12</v>
      </c>
      <c r="D11" s="28">
        <v>45831</v>
      </c>
      <c r="E11" s="28">
        <v>45833</v>
      </c>
      <c r="F11" s="27"/>
      <c r="G11" s="27"/>
      <c r="H11" s="27" t="s">
        <v>13</v>
      </c>
      <c r="I11" s="30" t="s">
        <v>14</v>
      </c>
      <c r="J11" s="22" t="str">
        <f>IF(LEN($G11)=0,IF(進度管制表!$D$1&gt;$E11,"延遲","未完成"),IF($E11=$G11,"如期完成",(IF($E11&gt;$G11,"提前完成",IF($E11&lt;$G11,"落後且完成","未完成")))))</f>
        <v>未完成</v>
      </c>
      <c r="K11" s="21"/>
      <c r="L11" s="29" t="s">
        <v>15</v>
      </c>
    </row>
    <row r="12" spans="1:12" s="31" customFormat="1" ht="20.149999999999999" hidden="1" customHeight="1">
      <c r="A12" s="27">
        <v>11</v>
      </c>
      <c r="B12" s="27" t="s">
        <v>25</v>
      </c>
      <c r="C12" s="27" t="s">
        <v>12</v>
      </c>
      <c r="D12" s="28">
        <v>45834</v>
      </c>
      <c r="E12" s="28">
        <v>45834</v>
      </c>
      <c r="F12" s="27"/>
      <c r="G12" s="27"/>
      <c r="H12" s="27" t="s">
        <v>13</v>
      </c>
      <c r="I12" s="27"/>
      <c r="J12" s="22" t="str">
        <f>IF(LEN($G12)=0,IF(進度管制表!$D$1&gt;$E12,"延遲","未完成"),IF($E12=$G12,"如期完成",(IF($E12&gt;$G12,"提前完成",IF($E12&lt;$G12,"落後且完成","未完成")))))</f>
        <v>未完成</v>
      </c>
      <c r="K12" s="21"/>
      <c r="L12" s="29" t="s">
        <v>15</v>
      </c>
    </row>
    <row r="13" spans="1:12" s="31" customFormat="1" ht="20.149999999999999" hidden="1" customHeight="1">
      <c r="A13" s="27">
        <v>12</v>
      </c>
      <c r="B13" s="27" t="s">
        <v>26</v>
      </c>
      <c r="C13" s="27" t="s">
        <v>12</v>
      </c>
      <c r="D13" s="28">
        <v>45834</v>
      </c>
      <c r="E13" s="28">
        <v>45834</v>
      </c>
      <c r="F13" s="27"/>
      <c r="G13" s="27"/>
      <c r="H13" s="27" t="s">
        <v>13</v>
      </c>
      <c r="I13" s="30" t="s">
        <v>14</v>
      </c>
      <c r="J13" s="22" t="str">
        <f>IF(LEN($G13)=0,IF(進度管制表!$D$1&gt;$E13,"延遲","未完成"),IF($E13=$G13,"如期完成",(IF($E13&gt;$G13,"提前完成",IF($E13&lt;$G13,"落後且完成","未完成")))))</f>
        <v>未完成</v>
      </c>
      <c r="K13" s="21"/>
      <c r="L13" s="29" t="s">
        <v>15</v>
      </c>
    </row>
    <row r="14" spans="1:12" s="31" customFormat="1" ht="20.149999999999999" hidden="1" customHeight="1">
      <c r="A14" s="27">
        <v>13</v>
      </c>
      <c r="B14" s="27" t="s">
        <v>27</v>
      </c>
      <c r="C14" s="27" t="s">
        <v>12</v>
      </c>
      <c r="D14" s="28">
        <v>45835</v>
      </c>
      <c r="E14" s="28">
        <v>45839</v>
      </c>
      <c r="F14" s="27"/>
      <c r="G14" s="27"/>
      <c r="H14" s="27" t="s">
        <v>13</v>
      </c>
      <c r="I14" s="30" t="s">
        <v>14</v>
      </c>
      <c r="J14" s="22" t="str">
        <f>IF(LEN($G14)=0,IF(進度管制表!$D$1&gt;$E14,"延遲","未完成"),IF($E14=$G14,"如期完成",(IF($E14&gt;$G14,"提前完成",IF($E14&lt;$G14,"落後且完成","未完成")))))</f>
        <v>未完成</v>
      </c>
      <c r="K14" s="21"/>
      <c r="L14" s="29" t="s">
        <v>15</v>
      </c>
    </row>
    <row r="15" spans="1:12" s="31" customFormat="1" ht="20.149999999999999" hidden="1" customHeight="1">
      <c r="A15" s="27">
        <v>14</v>
      </c>
      <c r="B15" s="27" t="s">
        <v>28</v>
      </c>
      <c r="C15" s="27" t="s">
        <v>12</v>
      </c>
      <c r="D15" s="28">
        <v>45840</v>
      </c>
      <c r="E15" s="28">
        <v>45840</v>
      </c>
      <c r="F15" s="27"/>
      <c r="G15" s="27"/>
      <c r="H15" s="27" t="s">
        <v>13</v>
      </c>
      <c r="I15" s="27"/>
      <c r="J15" s="22" t="str">
        <f>IF(LEN($G15)=0,IF(進度管制表!$D$1&gt;$E15,"延遲","未完成"),IF($E15=$G15,"如期完成",(IF($E15&gt;$G15,"提前完成",IF($E15&lt;$G15,"落後且完成","未完成")))))</f>
        <v>未完成</v>
      </c>
      <c r="K15" s="21"/>
      <c r="L15" s="29" t="s">
        <v>15</v>
      </c>
    </row>
    <row r="16" spans="1:12" s="31" customFormat="1" ht="20.149999999999999" hidden="1" customHeight="1">
      <c r="A16" s="27">
        <v>15</v>
      </c>
      <c r="B16" s="27" t="s">
        <v>29</v>
      </c>
      <c r="C16" s="27" t="s">
        <v>12</v>
      </c>
      <c r="D16" s="28">
        <v>45840</v>
      </c>
      <c r="E16" s="28">
        <v>45840</v>
      </c>
      <c r="F16" s="27"/>
      <c r="G16" s="27"/>
      <c r="H16" s="27" t="s">
        <v>13</v>
      </c>
      <c r="I16" s="30" t="s">
        <v>14</v>
      </c>
      <c r="J16" s="22" t="str">
        <f>IF(LEN($G16)=0,IF(進度管制表!$D$1&gt;$E16,"延遲","未完成"),IF($E16=$G16,"如期完成",(IF($E16&gt;$G16,"提前完成",IF($E16&lt;$G16,"落後且完成","未完成")))))</f>
        <v>未完成</v>
      </c>
      <c r="K16" s="21"/>
      <c r="L16" s="29" t="s">
        <v>15</v>
      </c>
    </row>
    <row r="17" spans="1:12" s="31" customFormat="1" ht="20.149999999999999" hidden="1" customHeight="1">
      <c r="A17" s="27">
        <v>16</v>
      </c>
      <c r="B17" s="27" t="s">
        <v>30</v>
      </c>
      <c r="C17" s="27" t="s">
        <v>12</v>
      </c>
      <c r="D17" s="28">
        <v>45841</v>
      </c>
      <c r="E17" s="28">
        <v>45845</v>
      </c>
      <c r="F17" s="27"/>
      <c r="G17" s="27"/>
      <c r="H17" s="27" t="s">
        <v>13</v>
      </c>
      <c r="I17" s="30" t="s">
        <v>14</v>
      </c>
      <c r="J17" s="22" t="str">
        <f>IF(LEN($G17)=0,IF(進度管制表!$D$1&gt;$E17,"延遲","未完成"),IF($E17=$G17,"如期完成",(IF($E17&gt;$G17,"提前完成",IF($E17&lt;$G17,"落後且完成","未完成")))))</f>
        <v>未完成</v>
      </c>
      <c r="K17" s="21"/>
      <c r="L17" s="29" t="s">
        <v>15</v>
      </c>
    </row>
    <row r="18" spans="1:12" s="31" customFormat="1" ht="20.149999999999999" hidden="1" customHeight="1">
      <c r="A18" s="27">
        <v>17</v>
      </c>
      <c r="B18" s="27" t="s">
        <v>31</v>
      </c>
      <c r="C18" s="27" t="s">
        <v>12</v>
      </c>
      <c r="D18" s="28">
        <v>45846</v>
      </c>
      <c r="E18" s="28">
        <v>45846</v>
      </c>
      <c r="F18" s="27"/>
      <c r="G18" s="27"/>
      <c r="H18" s="27" t="s">
        <v>13</v>
      </c>
      <c r="I18" s="27"/>
      <c r="J18" s="22" t="str">
        <f>IF(LEN($G18)=0,IF(進度管制表!$D$1&gt;$E18,"延遲","未完成"),IF($E18=$G18,"如期完成",(IF($E18&gt;$G18,"提前完成",IF($E18&lt;$G18,"落後且完成","未完成")))))</f>
        <v>未完成</v>
      </c>
      <c r="K18" s="21"/>
      <c r="L18" s="29" t="s">
        <v>15</v>
      </c>
    </row>
    <row r="19" spans="1:12" s="31" customFormat="1" ht="20.149999999999999" hidden="1" customHeight="1">
      <c r="A19" s="27">
        <v>18</v>
      </c>
      <c r="B19" s="27" t="s">
        <v>32</v>
      </c>
      <c r="C19" s="27" t="s">
        <v>12</v>
      </c>
      <c r="D19" s="28">
        <v>45846</v>
      </c>
      <c r="E19" s="28">
        <v>45846</v>
      </c>
      <c r="F19" s="27"/>
      <c r="G19" s="27"/>
      <c r="H19" s="27" t="s">
        <v>13</v>
      </c>
      <c r="I19" s="30" t="s">
        <v>14</v>
      </c>
      <c r="J19" s="22" t="str">
        <f>IF(LEN($G19)=0,IF(進度管制表!$D$1&gt;$E19,"延遲","未完成"),IF($E19=$G19,"如期完成",(IF($E19&gt;$G19,"提前完成",IF($E19&lt;$G19,"落後且完成","未完成")))))</f>
        <v>未完成</v>
      </c>
      <c r="K19" s="21"/>
      <c r="L19" s="29" t="s">
        <v>15</v>
      </c>
    </row>
    <row r="20" spans="1:12" s="31" customFormat="1" ht="20.149999999999999" hidden="1" customHeight="1">
      <c r="A20" s="27">
        <v>19</v>
      </c>
      <c r="B20" s="27" t="s">
        <v>33</v>
      </c>
      <c r="C20" s="27" t="s">
        <v>12</v>
      </c>
      <c r="D20" s="28">
        <v>45847</v>
      </c>
      <c r="E20" s="28">
        <v>45849</v>
      </c>
      <c r="F20" s="27"/>
      <c r="G20" s="27"/>
      <c r="H20" s="27" t="s">
        <v>13</v>
      </c>
      <c r="I20" s="30" t="s">
        <v>14</v>
      </c>
      <c r="J20" s="22" t="str">
        <f>IF(LEN($G20)=0,IF(進度管制表!$D$1&gt;$E20,"延遲","未完成"),IF($E20=$G20,"如期完成",(IF($E20&gt;$G20,"提前完成",IF($E20&lt;$G20,"落後且完成","未完成")))))</f>
        <v>未完成</v>
      </c>
      <c r="K20" s="21"/>
      <c r="L20" s="29" t="s">
        <v>15</v>
      </c>
    </row>
    <row r="21" spans="1:12" s="31" customFormat="1" ht="20.149999999999999" hidden="1" customHeight="1">
      <c r="A21" s="27">
        <v>20</v>
      </c>
      <c r="B21" s="27" t="s">
        <v>34</v>
      </c>
      <c r="C21" s="27" t="s">
        <v>12</v>
      </c>
      <c r="D21" s="28">
        <v>45852</v>
      </c>
      <c r="E21" s="28">
        <v>45852</v>
      </c>
      <c r="F21" s="27"/>
      <c r="G21" s="27"/>
      <c r="H21" s="27" t="s">
        <v>13</v>
      </c>
      <c r="I21" s="27"/>
      <c r="J21" s="22" t="str">
        <f>IF(LEN($G21)=0,IF(進度管制表!$D$1&gt;$E21,"延遲","未完成"),IF($E21=$G21,"如期完成",(IF($E21&gt;$G21,"提前完成",IF($E21&lt;$G21,"落後且完成","未完成")))))</f>
        <v>未完成</v>
      </c>
      <c r="K21" s="21"/>
      <c r="L21" s="29" t="s">
        <v>15</v>
      </c>
    </row>
    <row r="22" spans="1:12" s="31" customFormat="1" ht="20.149999999999999" hidden="1" customHeight="1">
      <c r="A22" s="27">
        <v>21</v>
      </c>
      <c r="B22" s="27" t="s">
        <v>35</v>
      </c>
      <c r="C22" s="27" t="s">
        <v>12</v>
      </c>
      <c r="D22" s="28">
        <v>45852</v>
      </c>
      <c r="E22" s="28">
        <v>45852</v>
      </c>
      <c r="F22" s="27"/>
      <c r="G22" s="27"/>
      <c r="H22" s="27" t="s">
        <v>13</v>
      </c>
      <c r="I22" s="30" t="s">
        <v>14</v>
      </c>
      <c r="J22" s="22" t="str">
        <f>IF(LEN($G22)=0,IF(進度管制表!$D$1&gt;$E22,"延遲","未完成"),IF($E22=$G22,"如期完成",(IF($E22&gt;$G22,"提前完成",IF($E22&lt;$G22,"落後且完成","未完成")))))</f>
        <v>未完成</v>
      </c>
      <c r="K22" s="21"/>
      <c r="L22" s="29" t="s">
        <v>15</v>
      </c>
    </row>
    <row r="23" spans="1:12" s="31" customFormat="1" ht="20.149999999999999" customHeight="1">
      <c r="A23" s="27">
        <v>22</v>
      </c>
      <c r="B23" s="27" t="s">
        <v>36</v>
      </c>
      <c r="C23" s="27" t="s">
        <v>12</v>
      </c>
      <c r="D23" s="28">
        <v>45792</v>
      </c>
      <c r="E23" s="28">
        <v>45798</v>
      </c>
      <c r="F23" s="28">
        <v>45792</v>
      </c>
      <c r="G23" s="28">
        <v>45798</v>
      </c>
      <c r="H23" s="27" t="s">
        <v>13</v>
      </c>
      <c r="I23" s="30" t="s">
        <v>14</v>
      </c>
      <c r="J23" s="22" t="str">
        <f>IF(LEN($G23)=0,IF(進度管制表!$D$1&gt;$E23,"延遲","未完成"),IF($E23=$G23,"如期完成",(IF($E23&gt;$G23,"提前完成",IF($E23&lt;$G23,"落後且完成","未完成")))))</f>
        <v>如期完成</v>
      </c>
      <c r="K23" s="21"/>
      <c r="L23" s="29" t="s">
        <v>15</v>
      </c>
    </row>
    <row r="24" spans="1:12" s="31" customFormat="1" ht="20.149999999999999" customHeight="1">
      <c r="A24" s="27">
        <v>23</v>
      </c>
      <c r="B24" s="27" t="s">
        <v>37</v>
      </c>
      <c r="C24" s="27" t="s">
        <v>12</v>
      </c>
      <c r="D24" s="28">
        <v>45799</v>
      </c>
      <c r="E24" s="28">
        <v>45799</v>
      </c>
      <c r="F24" s="28">
        <v>45799</v>
      </c>
      <c r="G24" s="28">
        <v>45799</v>
      </c>
      <c r="H24" s="27" t="s">
        <v>13</v>
      </c>
      <c r="I24" s="27"/>
      <c r="J24" s="22" t="str">
        <f>IF(LEN($G24)=0,IF(進度管制表!$D$1&gt;$E24,"延遲","未完成"),IF($E24=$G24,"如期完成",(IF($E24&gt;$G24,"提前完成",IF($E24&lt;$G24,"落後且完成","未完成")))))</f>
        <v>如期完成</v>
      </c>
      <c r="K24" s="21"/>
      <c r="L24" s="29" t="s">
        <v>15</v>
      </c>
    </row>
    <row r="25" spans="1:12" s="31" customFormat="1" ht="20.149999999999999" customHeight="1">
      <c r="A25" s="27">
        <v>24</v>
      </c>
      <c r="B25" s="27" t="s">
        <v>38</v>
      </c>
      <c r="C25" s="27" t="s">
        <v>12</v>
      </c>
      <c r="D25" s="28">
        <v>45799</v>
      </c>
      <c r="E25" s="28">
        <v>45799</v>
      </c>
      <c r="F25" s="28">
        <v>45799</v>
      </c>
      <c r="G25" s="28">
        <v>45799</v>
      </c>
      <c r="H25" s="27" t="s">
        <v>13</v>
      </c>
      <c r="I25" s="30" t="s">
        <v>14</v>
      </c>
      <c r="J25" s="22" t="str">
        <f>IF(LEN($G25)=0,IF(進度管制表!$D$1&gt;$E25,"延遲","未完成"),IF($E25=$G25,"如期完成",(IF($E25&gt;$G25,"提前完成",IF($E25&lt;$G25,"落後且完成","未完成")))))</f>
        <v>如期完成</v>
      </c>
      <c r="K25" s="21"/>
      <c r="L25" s="29" t="s">
        <v>15</v>
      </c>
    </row>
    <row r="26" spans="1:12" s="31" customFormat="1" ht="20.149999999999999" customHeight="1">
      <c r="A26" s="27">
        <v>25</v>
      </c>
      <c r="B26" s="27" t="s">
        <v>39</v>
      </c>
      <c r="C26" s="27" t="s">
        <v>12</v>
      </c>
      <c r="D26" s="28">
        <v>45800</v>
      </c>
      <c r="E26" s="28">
        <v>45804</v>
      </c>
      <c r="F26" s="28">
        <v>45800</v>
      </c>
      <c r="G26" s="28">
        <v>45804</v>
      </c>
      <c r="H26" s="27" t="s">
        <v>13</v>
      </c>
      <c r="I26" s="30" t="s">
        <v>14</v>
      </c>
      <c r="J26" s="22" t="str">
        <f>IF(LEN($G26)=0,IF(進度管制表!$D$1&gt;$E26,"延遲","未完成"),IF($E26=$G26,"如期完成",(IF($E26&gt;$G26,"提前完成",IF($E26&lt;$G26,"落後且完成","未完成")))))</f>
        <v>如期完成</v>
      </c>
      <c r="K26" s="21"/>
      <c r="L26" s="29" t="s">
        <v>15</v>
      </c>
    </row>
    <row r="27" spans="1:12" s="31" customFormat="1" ht="20.149999999999999" customHeight="1">
      <c r="A27" s="27">
        <v>26</v>
      </c>
      <c r="B27" s="27" t="s">
        <v>40</v>
      </c>
      <c r="C27" s="27" t="s">
        <v>12</v>
      </c>
      <c r="D27" s="28">
        <v>45805</v>
      </c>
      <c r="E27" s="28">
        <v>45805</v>
      </c>
      <c r="F27" s="28">
        <v>45805</v>
      </c>
      <c r="G27" s="28">
        <v>45805</v>
      </c>
      <c r="H27" s="27" t="s">
        <v>13</v>
      </c>
      <c r="I27" s="27"/>
      <c r="J27" s="22" t="str">
        <f>IF(LEN($G27)=0,IF(進度管制表!$D$1&gt;$E27,"延遲","未完成"),IF($E27=$G27,"如期完成",(IF($E27&gt;$G27,"提前完成",IF($E27&lt;$G27,"落後且完成","未完成")))))</f>
        <v>如期完成</v>
      </c>
      <c r="K27" s="21"/>
      <c r="L27" s="29" t="s">
        <v>15</v>
      </c>
    </row>
    <row r="28" spans="1:12" s="31" customFormat="1" ht="20.149999999999999" customHeight="1">
      <c r="A28" s="27">
        <v>27</v>
      </c>
      <c r="B28" s="27" t="s">
        <v>41</v>
      </c>
      <c r="C28" s="27" t="s">
        <v>12</v>
      </c>
      <c r="D28" s="28">
        <v>45805</v>
      </c>
      <c r="E28" s="28">
        <v>45805</v>
      </c>
      <c r="F28" s="28">
        <v>45805</v>
      </c>
      <c r="G28" s="28">
        <v>45805</v>
      </c>
      <c r="H28" s="27" t="s">
        <v>13</v>
      </c>
      <c r="I28" s="30" t="s">
        <v>14</v>
      </c>
      <c r="J28" s="22" t="str">
        <f>IF(LEN($G28)=0,IF(進度管制表!$D$1&gt;$E28,"延遲","未完成"),IF($E28=$G28,"如期完成",(IF($E28&gt;$G28,"提前完成",IF($E28&lt;$G28,"落後且完成","未完成")))))</f>
        <v>如期完成</v>
      </c>
      <c r="K28" s="21"/>
      <c r="L28" s="29" t="s">
        <v>15</v>
      </c>
    </row>
    <row r="29" spans="1:12" s="31" customFormat="1" ht="20.149999999999999" customHeight="1">
      <c r="A29" s="27">
        <v>28</v>
      </c>
      <c r="B29" s="27" t="s">
        <v>42</v>
      </c>
      <c r="C29" s="27" t="s">
        <v>12</v>
      </c>
      <c r="D29" s="28">
        <v>45806</v>
      </c>
      <c r="E29" s="28">
        <v>45806</v>
      </c>
      <c r="F29" s="28">
        <v>45806</v>
      </c>
      <c r="G29" s="28">
        <v>45806</v>
      </c>
      <c r="H29" s="27" t="s">
        <v>13</v>
      </c>
      <c r="I29" s="30" t="s">
        <v>14</v>
      </c>
      <c r="J29" s="22" t="str">
        <f>IF(LEN($G29)=0,IF(進度管制表!$D$1&gt;$E29,"延遲","未完成"),IF($E29=$G29,"如期完成",(IF($E29&gt;$G29,"提前完成",IF($E29&lt;$G29,"落後且完成","未完成")))))</f>
        <v>如期完成</v>
      </c>
      <c r="K29" s="21"/>
      <c r="L29" s="29" t="s">
        <v>15</v>
      </c>
    </row>
    <row r="30" spans="1:12" s="31" customFormat="1" ht="20.149999999999999" customHeight="1">
      <c r="A30" s="27">
        <v>29</v>
      </c>
      <c r="B30" s="27" t="s">
        <v>43</v>
      </c>
      <c r="C30" s="27" t="s">
        <v>12</v>
      </c>
      <c r="D30" s="28">
        <v>45810</v>
      </c>
      <c r="E30" s="28">
        <v>45810</v>
      </c>
      <c r="F30" s="28">
        <v>45810</v>
      </c>
      <c r="G30" s="28">
        <v>45810</v>
      </c>
      <c r="H30" s="27" t="s">
        <v>13</v>
      </c>
      <c r="I30" s="27"/>
      <c r="J30" s="22" t="str">
        <f>IF(LEN($G30)=0,IF(進度管制表!$D$1&gt;$E30,"延遲","未完成"),IF($E30=$G30,"如期完成",(IF($E30&gt;$G30,"提前完成",IF($E30&lt;$G30,"落後且完成","未完成")))))</f>
        <v>如期完成</v>
      </c>
      <c r="K30" s="21"/>
      <c r="L30" s="29" t="s">
        <v>15</v>
      </c>
    </row>
    <row r="31" spans="1:12" s="31" customFormat="1" ht="20.149999999999999" customHeight="1">
      <c r="A31" s="27">
        <v>30</v>
      </c>
      <c r="B31" s="27" t="s">
        <v>44</v>
      </c>
      <c r="C31" s="27" t="s">
        <v>12</v>
      </c>
      <c r="D31" s="28">
        <v>45810</v>
      </c>
      <c r="E31" s="28">
        <v>45810</v>
      </c>
      <c r="F31" s="28">
        <v>45810</v>
      </c>
      <c r="G31" s="28">
        <v>45810</v>
      </c>
      <c r="H31" s="27" t="s">
        <v>13</v>
      </c>
      <c r="I31" s="30" t="s">
        <v>14</v>
      </c>
      <c r="J31" s="22" t="str">
        <f>IF(LEN($G31)=0,IF(進度管制表!$D$1&gt;$E31,"延遲","未完成"),IF($E31=$G31,"如期完成",(IF($E31&gt;$G31,"提前完成",IF($E31&lt;$G31,"落後且完成","未完成")))))</f>
        <v>如期完成</v>
      </c>
      <c r="K31" s="21"/>
      <c r="L31" s="29" t="s">
        <v>15</v>
      </c>
    </row>
    <row r="32" spans="1:12" s="31" customFormat="1" ht="20.149999999999999" hidden="1" customHeight="1">
      <c r="A32" s="27">
        <v>31</v>
      </c>
      <c r="B32" s="27" t="s">
        <v>45</v>
      </c>
      <c r="C32" s="27" t="s">
        <v>12</v>
      </c>
      <c r="D32" s="28">
        <v>45853</v>
      </c>
      <c r="E32" s="28">
        <v>45859</v>
      </c>
      <c r="F32" s="27"/>
      <c r="G32" s="27"/>
      <c r="H32" s="27" t="s">
        <v>13</v>
      </c>
      <c r="I32" s="30" t="s">
        <v>14</v>
      </c>
      <c r="J32" s="22" t="str">
        <f>IF(LEN($G32)=0,IF(進度管制表!$D$1&gt;$E32,"延遲","未完成"),IF($E32=$G32,"如期完成",(IF($E32&gt;$G32,"提前完成",IF($E32&lt;$G32,"落後且完成","未完成")))))</f>
        <v>未完成</v>
      </c>
      <c r="K32" s="21"/>
      <c r="L32" s="29" t="s">
        <v>15</v>
      </c>
    </row>
    <row r="33" spans="1:12" s="31" customFormat="1" ht="20.149999999999999" hidden="1" customHeight="1">
      <c r="A33" s="27">
        <v>32</v>
      </c>
      <c r="B33" s="27" t="s">
        <v>46</v>
      </c>
      <c r="C33" s="27" t="s">
        <v>12</v>
      </c>
      <c r="D33" s="28">
        <v>45860</v>
      </c>
      <c r="E33" s="28">
        <v>45860</v>
      </c>
      <c r="F33" s="27"/>
      <c r="G33" s="27"/>
      <c r="H33" s="27" t="s">
        <v>13</v>
      </c>
      <c r="I33" s="27"/>
      <c r="J33" s="22" t="str">
        <f>IF(LEN($G33)=0,IF(進度管制表!$D$1&gt;$E33,"延遲","未完成"),IF($E33=$G33,"如期完成",(IF($E33&gt;$G33,"提前完成",IF($E33&lt;$G33,"落後且完成","未完成")))))</f>
        <v>未完成</v>
      </c>
      <c r="K33" s="21"/>
      <c r="L33" s="29" t="s">
        <v>15</v>
      </c>
    </row>
    <row r="34" spans="1:12" s="31" customFormat="1" ht="20.149999999999999" hidden="1" customHeight="1">
      <c r="A34" s="27">
        <v>33</v>
      </c>
      <c r="B34" s="27" t="s">
        <v>47</v>
      </c>
      <c r="C34" s="27" t="s">
        <v>12</v>
      </c>
      <c r="D34" s="28">
        <v>45860</v>
      </c>
      <c r="E34" s="28">
        <v>45860</v>
      </c>
      <c r="F34" s="27"/>
      <c r="G34" s="27"/>
      <c r="H34" s="27" t="s">
        <v>13</v>
      </c>
      <c r="I34" s="30" t="s">
        <v>14</v>
      </c>
      <c r="J34" s="22" t="str">
        <f>IF(LEN($G34)=0,IF(進度管制表!$D$1&gt;$E34,"延遲","未完成"),IF($E34=$G34,"如期完成",(IF($E34&gt;$G34,"提前完成",IF($E34&lt;$G34,"落後且完成","未完成")))))</f>
        <v>未完成</v>
      </c>
      <c r="K34" s="21"/>
      <c r="L34" s="29" t="s">
        <v>15</v>
      </c>
    </row>
    <row r="35" spans="1:12" s="31" customFormat="1" ht="20.149999999999999" customHeight="1">
      <c r="A35" s="27">
        <v>34</v>
      </c>
      <c r="B35" s="27" t="s">
        <v>48</v>
      </c>
      <c r="C35" s="27" t="s">
        <v>12</v>
      </c>
      <c r="D35" s="28">
        <v>45792</v>
      </c>
      <c r="E35" s="28">
        <v>45798</v>
      </c>
      <c r="F35" s="28">
        <v>45792</v>
      </c>
      <c r="G35" s="28">
        <v>45798</v>
      </c>
      <c r="H35" s="27" t="s">
        <v>13</v>
      </c>
      <c r="I35" s="27" t="s">
        <v>49</v>
      </c>
      <c r="J35" s="22" t="str">
        <f>IF(LEN($G35)=0,IF(進度管制表!$D$1&gt;$E35,"延遲","未完成"),IF($E35=$G35,"如期完成",(IF($E35&gt;$G35,"提前完成",IF($E35&lt;$G35,"落後且完成","未完成")))))</f>
        <v>如期完成</v>
      </c>
      <c r="K35" s="21"/>
      <c r="L35" s="29" t="s">
        <v>15</v>
      </c>
    </row>
    <row r="36" spans="1:12" s="31" customFormat="1" ht="93.5">
      <c r="A36" s="27">
        <v>35</v>
      </c>
      <c r="B36" s="27" t="s">
        <v>50</v>
      </c>
      <c r="C36" s="27" t="s">
        <v>12</v>
      </c>
      <c r="D36" s="28">
        <v>45799</v>
      </c>
      <c r="E36" s="28">
        <v>45799</v>
      </c>
      <c r="F36" s="28">
        <v>45799</v>
      </c>
      <c r="G36" s="28">
        <v>45804</v>
      </c>
      <c r="H36" s="27" t="s">
        <v>13</v>
      </c>
      <c r="I36" s="27"/>
      <c r="J36" s="22" t="str">
        <f>IF(LEN($G36)=0,IF(進度管制表!$D$1&gt;$E36,"延遲","未完成"),IF($E36=$G36,"如期完成",(IF($E36&gt;$G36,"提前完成",IF($E36&lt;$G36,"落後且完成","未完成")))))</f>
        <v>落後且完成</v>
      </c>
      <c r="K36" s="21" t="s">
        <v>51</v>
      </c>
      <c r="L36" s="29" t="s">
        <v>15</v>
      </c>
    </row>
    <row r="37" spans="1:12" s="31" customFormat="1" ht="93.5">
      <c r="A37" s="27">
        <v>36</v>
      </c>
      <c r="B37" s="27" t="s">
        <v>52</v>
      </c>
      <c r="C37" s="27" t="s">
        <v>12</v>
      </c>
      <c r="D37" s="28">
        <v>45799</v>
      </c>
      <c r="E37" s="28">
        <v>45799</v>
      </c>
      <c r="F37" s="28">
        <v>45799</v>
      </c>
      <c r="G37" s="28">
        <v>45804</v>
      </c>
      <c r="H37" s="27" t="s">
        <v>13</v>
      </c>
      <c r="I37" s="27" t="s">
        <v>49</v>
      </c>
      <c r="J37" s="22" t="str">
        <f>IF(LEN($G37)=0,IF(進度管制表!$D$1&gt;$E37,"延遲","未完成"),IF($E37=$G37,"如期完成",(IF($E37&gt;$G37,"提前完成",IF($E37&lt;$G37,"落後且完成","未完成")))))</f>
        <v>落後且完成</v>
      </c>
      <c r="K37" s="21" t="s">
        <v>51</v>
      </c>
      <c r="L37" s="29" t="s">
        <v>15</v>
      </c>
    </row>
    <row r="38" spans="1:12" s="31" customFormat="1" ht="20.149999999999999" customHeight="1">
      <c r="A38" s="27">
        <v>37</v>
      </c>
      <c r="B38" s="27" t="s">
        <v>53</v>
      </c>
      <c r="C38" s="27" t="s">
        <v>12</v>
      </c>
      <c r="D38" s="28">
        <v>45800</v>
      </c>
      <c r="E38" s="28">
        <v>45804</v>
      </c>
      <c r="F38" s="28">
        <v>45800</v>
      </c>
      <c r="G38" s="28">
        <v>45804</v>
      </c>
      <c r="H38" s="27" t="s">
        <v>13</v>
      </c>
      <c r="I38" s="27" t="s">
        <v>49</v>
      </c>
      <c r="J38" s="22" t="str">
        <f>IF(LEN($G38)=0,IF(進度管制表!$D$1&gt;$E38,"延遲","未完成"),IF($E38=$G38,"如期完成",(IF($E38&gt;$G38,"提前完成",IF($E38&lt;$G38,"落後且完成","未完成")))))</f>
        <v>如期完成</v>
      </c>
      <c r="K38" s="21"/>
      <c r="L38" s="29" t="s">
        <v>15</v>
      </c>
    </row>
    <row r="39" spans="1:12" s="31" customFormat="1" ht="20.149999999999999" customHeight="1">
      <c r="A39" s="27">
        <v>38</v>
      </c>
      <c r="B39" s="27" t="s">
        <v>54</v>
      </c>
      <c r="C39" s="27" t="s">
        <v>12</v>
      </c>
      <c r="D39" s="28">
        <v>45805</v>
      </c>
      <c r="E39" s="28">
        <v>45805</v>
      </c>
      <c r="F39" s="28">
        <v>45805</v>
      </c>
      <c r="G39" s="28">
        <v>45805</v>
      </c>
      <c r="H39" s="27" t="s">
        <v>13</v>
      </c>
      <c r="I39" s="27"/>
      <c r="J39" s="22" t="str">
        <f>IF(LEN($G39)=0,IF(進度管制表!$D$1&gt;$E39,"延遲","未完成"),IF($E39=$G39,"如期完成",(IF($E39&gt;$G39,"提前完成",IF($E39&lt;$G39,"落後且完成","未完成")))))</f>
        <v>如期完成</v>
      </c>
      <c r="K39" s="21"/>
      <c r="L39" s="29" t="s">
        <v>15</v>
      </c>
    </row>
    <row r="40" spans="1:12" s="31" customFormat="1" ht="20.149999999999999" customHeight="1">
      <c r="A40" s="27">
        <v>39</v>
      </c>
      <c r="B40" s="27" t="s">
        <v>55</v>
      </c>
      <c r="C40" s="27" t="s">
        <v>12</v>
      </c>
      <c r="D40" s="28">
        <v>45805</v>
      </c>
      <c r="E40" s="28">
        <v>45805</v>
      </c>
      <c r="F40" s="28">
        <v>45805</v>
      </c>
      <c r="G40" s="28">
        <v>45805</v>
      </c>
      <c r="H40" s="27" t="s">
        <v>13</v>
      </c>
      <c r="I40" s="27" t="s">
        <v>49</v>
      </c>
      <c r="J40" s="22" t="str">
        <f>IF(LEN($G40)=0,IF(進度管制表!$D$1&gt;$E40,"延遲","未完成"),IF($E40=$G40,"如期完成",(IF($E40&gt;$G40,"提前完成",IF($E40&lt;$G40,"落後且完成","未完成")))))</f>
        <v>如期完成</v>
      </c>
      <c r="K40" s="21"/>
      <c r="L40" s="29" t="s">
        <v>15</v>
      </c>
    </row>
    <row r="41" spans="1:12" s="31" customFormat="1" ht="20.149999999999999" customHeight="1">
      <c r="A41" s="27">
        <v>40</v>
      </c>
      <c r="B41" s="27" t="s">
        <v>56</v>
      </c>
      <c r="C41" s="27" t="s">
        <v>12</v>
      </c>
      <c r="D41" s="28">
        <v>45806</v>
      </c>
      <c r="E41" s="28">
        <v>45814</v>
      </c>
      <c r="F41" s="28">
        <v>45806</v>
      </c>
      <c r="G41" s="28">
        <v>45814</v>
      </c>
      <c r="H41" s="27" t="s">
        <v>13</v>
      </c>
      <c r="I41" s="27" t="s">
        <v>49</v>
      </c>
      <c r="J41" s="22" t="str">
        <f>IF(LEN($G41)=0,IF(進度管制表!$D$1&gt;$E41,"延遲","未完成"),IF($E41=$G41,"如期完成",(IF($E41&gt;$G41,"提前完成",IF($E41&lt;$G41,"落後且完成","未完成")))))</f>
        <v>如期完成</v>
      </c>
      <c r="K41" s="21"/>
      <c r="L41" s="29" t="s">
        <v>15</v>
      </c>
    </row>
    <row r="42" spans="1:12" s="57" customFormat="1" ht="20.149999999999999" customHeight="1">
      <c r="A42" s="52">
        <v>41</v>
      </c>
      <c r="B42" s="52" t="s">
        <v>57</v>
      </c>
      <c r="C42" s="52" t="s">
        <v>12</v>
      </c>
      <c r="D42" s="53">
        <v>45817</v>
      </c>
      <c r="E42" s="53">
        <v>45817</v>
      </c>
      <c r="F42" s="53"/>
      <c r="G42" s="52"/>
      <c r="H42" s="52" t="s">
        <v>13</v>
      </c>
      <c r="I42" s="52"/>
      <c r="J42" s="54" t="str">
        <f>IF(LEN($G42)=0,IF(進度管制表!$D$1&gt;$E42,"延遲","未完成"),IF($E42=$G42,"如期完成",(IF($E42&gt;$G42,"提前完成",IF($E42&lt;$G42,"落後且完成","未完成")))))</f>
        <v>未完成</v>
      </c>
      <c r="K42" s="55" t="s">
        <v>94</v>
      </c>
      <c r="L42" s="56" t="s">
        <v>15</v>
      </c>
    </row>
    <row r="43" spans="1:12" s="57" customFormat="1" ht="20.149999999999999" customHeight="1">
      <c r="A43" s="52">
        <v>42</v>
      </c>
      <c r="B43" s="52" t="s">
        <v>58</v>
      </c>
      <c r="C43" s="52" t="s">
        <v>12</v>
      </c>
      <c r="D43" s="53">
        <v>45817</v>
      </c>
      <c r="E43" s="53">
        <v>45817</v>
      </c>
      <c r="F43" s="53"/>
      <c r="G43" s="52"/>
      <c r="H43" s="52" t="s">
        <v>13</v>
      </c>
      <c r="I43" s="52" t="s">
        <v>49</v>
      </c>
      <c r="J43" s="54" t="str">
        <f>IF(LEN($G43)=0,IF(進度管制表!$D$1&gt;$E43,"延遲","未完成"),IF($E43=$G43,"如期完成",(IF($E43&gt;$G43,"提前完成",IF($E43&lt;$G43,"落後且完成","未完成")))))</f>
        <v>未完成</v>
      </c>
      <c r="K43" s="55" t="s">
        <v>94</v>
      </c>
      <c r="L43" s="56" t="s">
        <v>15</v>
      </c>
    </row>
    <row r="44" spans="1:12" s="31" customFormat="1" ht="20.149999999999999" hidden="1" customHeight="1">
      <c r="A44" s="27">
        <v>43</v>
      </c>
      <c r="B44" s="27" t="s">
        <v>59</v>
      </c>
      <c r="C44" s="27" t="s">
        <v>12</v>
      </c>
      <c r="D44" s="28">
        <v>45818</v>
      </c>
      <c r="E44" s="28">
        <v>45820</v>
      </c>
      <c r="F44" s="27"/>
      <c r="G44" s="27"/>
      <c r="H44" s="27" t="s">
        <v>13</v>
      </c>
      <c r="I44" s="27" t="s">
        <v>49</v>
      </c>
      <c r="J44" s="22" t="str">
        <f>IF(LEN($G44)=0,IF(進度管制表!$D$1&gt;$E44,"延遲","未完成"),IF($E44=$G44,"如期完成",(IF($E44&gt;$G44,"提前完成",IF($E44&lt;$G44,"落後且完成","未完成")))))</f>
        <v>未完成</v>
      </c>
      <c r="K44" s="21"/>
      <c r="L44" s="29" t="s">
        <v>15</v>
      </c>
    </row>
    <row r="45" spans="1:12" s="31" customFormat="1" ht="20.149999999999999" hidden="1" customHeight="1">
      <c r="A45" s="27">
        <v>44</v>
      </c>
      <c r="B45" s="27" t="s">
        <v>60</v>
      </c>
      <c r="C45" s="27" t="s">
        <v>12</v>
      </c>
      <c r="D45" s="28">
        <v>45821</v>
      </c>
      <c r="E45" s="28">
        <v>45821</v>
      </c>
      <c r="F45" s="27"/>
      <c r="G45" s="27"/>
      <c r="H45" s="27" t="s">
        <v>13</v>
      </c>
      <c r="I45" s="27"/>
      <c r="J45" s="22" t="str">
        <f>IF(LEN($G45)=0,IF(進度管制表!$D$1&gt;$E45,"延遲","未完成"),IF($E45=$G45,"如期完成",(IF($E45&gt;$G45,"提前完成",IF($E45&lt;$G45,"落後且完成","未完成")))))</f>
        <v>未完成</v>
      </c>
      <c r="K45" s="21"/>
      <c r="L45" s="29" t="s">
        <v>15</v>
      </c>
    </row>
    <row r="46" spans="1:12" s="31" customFormat="1" ht="20.149999999999999" hidden="1" customHeight="1">
      <c r="A46" s="27">
        <v>45</v>
      </c>
      <c r="B46" s="27" t="s">
        <v>61</v>
      </c>
      <c r="C46" s="27" t="s">
        <v>12</v>
      </c>
      <c r="D46" s="28">
        <v>45821</v>
      </c>
      <c r="E46" s="28">
        <v>45821</v>
      </c>
      <c r="F46" s="27"/>
      <c r="G46" s="27"/>
      <c r="H46" s="27" t="s">
        <v>13</v>
      </c>
      <c r="I46" s="27" t="s">
        <v>49</v>
      </c>
      <c r="J46" s="22" t="str">
        <f>IF(LEN($G46)=0,IF(進度管制表!$D$1&gt;$E46,"延遲","未完成"),IF($E46=$G46,"如期完成",(IF($E46&gt;$G46,"提前完成",IF($E46&lt;$G46,"落後且完成","未完成")))))</f>
        <v>未完成</v>
      </c>
      <c r="K46" s="21"/>
      <c r="L46" s="29" t="s">
        <v>15</v>
      </c>
    </row>
    <row r="47" spans="1:12" s="31" customFormat="1" ht="20.149999999999999" hidden="1" customHeight="1">
      <c r="A47" s="27">
        <v>46</v>
      </c>
      <c r="B47" s="27" t="s">
        <v>62</v>
      </c>
      <c r="C47" s="27" t="s">
        <v>12</v>
      </c>
      <c r="D47" s="28">
        <v>45824</v>
      </c>
      <c r="E47" s="28">
        <v>45826</v>
      </c>
      <c r="F47" s="27"/>
      <c r="G47" s="27"/>
      <c r="H47" s="27" t="s">
        <v>13</v>
      </c>
      <c r="I47" s="27" t="s">
        <v>49</v>
      </c>
      <c r="J47" s="22" t="str">
        <f>IF(LEN($G47)=0,IF(進度管制表!$D$1&gt;$E47,"延遲","未完成"),IF($E47=$G47,"如期完成",(IF($E47&gt;$G47,"提前完成",IF($E47&lt;$G47,"落後且完成","未完成")))))</f>
        <v>未完成</v>
      </c>
      <c r="K47" s="21"/>
      <c r="L47" s="29" t="s">
        <v>15</v>
      </c>
    </row>
    <row r="48" spans="1:12" s="31" customFormat="1" ht="20.149999999999999" hidden="1" customHeight="1">
      <c r="A48" s="27">
        <v>47</v>
      </c>
      <c r="B48" s="27" t="s">
        <v>63</v>
      </c>
      <c r="C48" s="27" t="s">
        <v>12</v>
      </c>
      <c r="D48" s="28">
        <v>45827</v>
      </c>
      <c r="E48" s="28">
        <v>45827</v>
      </c>
      <c r="F48" s="27"/>
      <c r="G48" s="27"/>
      <c r="H48" s="27" t="s">
        <v>13</v>
      </c>
      <c r="I48" s="27"/>
      <c r="J48" s="22" t="str">
        <f>IF(LEN($G48)=0,IF(進度管制表!$D$1&gt;$E48,"延遲","未完成"),IF($E48=$G48,"如期完成",(IF($E48&gt;$G48,"提前完成",IF($E48&lt;$G48,"落後且完成","未完成")))))</f>
        <v>未完成</v>
      </c>
      <c r="K48" s="21"/>
      <c r="L48" s="29" t="s">
        <v>15</v>
      </c>
    </row>
    <row r="49" spans="1:12" s="31" customFormat="1" ht="20.149999999999999" hidden="1" customHeight="1">
      <c r="A49" s="27">
        <v>48</v>
      </c>
      <c r="B49" s="27" t="s">
        <v>64</v>
      </c>
      <c r="C49" s="27" t="s">
        <v>12</v>
      </c>
      <c r="D49" s="28">
        <v>45827</v>
      </c>
      <c r="E49" s="28">
        <v>45827</v>
      </c>
      <c r="F49" s="27"/>
      <c r="G49" s="27"/>
      <c r="H49" s="27" t="s">
        <v>13</v>
      </c>
      <c r="I49" s="27" t="s">
        <v>49</v>
      </c>
      <c r="J49" s="22" t="str">
        <f>IF(LEN($G49)=0,IF(進度管制表!$D$1&gt;$E49,"延遲","未完成"),IF($E49=$G49,"如期完成",(IF($E49&gt;$G49,"提前完成",IF($E49&lt;$G49,"落後且完成","未完成")))))</f>
        <v>未完成</v>
      </c>
      <c r="K49" s="21"/>
      <c r="L49" s="29" t="s">
        <v>15</v>
      </c>
    </row>
    <row r="50" spans="1:12" s="31" customFormat="1" ht="20.149999999999999" hidden="1" customHeight="1">
      <c r="A50" s="27">
        <v>49</v>
      </c>
      <c r="B50" s="27" t="s">
        <v>65</v>
      </c>
      <c r="C50" s="27" t="s">
        <v>12</v>
      </c>
      <c r="D50" s="28">
        <v>45828</v>
      </c>
      <c r="E50" s="28">
        <v>45832</v>
      </c>
      <c r="F50" s="27"/>
      <c r="G50" s="27"/>
      <c r="H50" s="27" t="s">
        <v>13</v>
      </c>
      <c r="I50" s="27" t="s">
        <v>49</v>
      </c>
      <c r="J50" s="22" t="str">
        <f>IF(LEN($G50)=0,IF(進度管制表!$D$1&gt;$E50,"延遲","未完成"),IF($E50=$G50,"如期完成",(IF($E50&gt;$G50,"提前完成",IF($E50&lt;$G50,"落後且完成","未完成")))))</f>
        <v>未完成</v>
      </c>
      <c r="K50" s="21"/>
      <c r="L50" s="29" t="s">
        <v>15</v>
      </c>
    </row>
    <row r="51" spans="1:12" s="31" customFormat="1" ht="20.149999999999999" hidden="1" customHeight="1">
      <c r="A51" s="27">
        <v>50</v>
      </c>
      <c r="B51" s="27" t="s">
        <v>66</v>
      </c>
      <c r="C51" s="27" t="s">
        <v>12</v>
      </c>
      <c r="D51" s="28">
        <v>45833</v>
      </c>
      <c r="E51" s="28">
        <v>45833</v>
      </c>
      <c r="F51" s="27"/>
      <c r="G51" s="27"/>
      <c r="H51" s="27" t="s">
        <v>13</v>
      </c>
      <c r="I51" s="27"/>
      <c r="J51" s="22" t="str">
        <f>IF(LEN($G51)=0,IF(進度管制表!$D$1&gt;$E51,"延遲","未完成"),IF($E51=$G51,"如期完成",(IF($E51&gt;$G51,"提前完成",IF($E51&lt;$G51,"落後且完成","未完成")))))</f>
        <v>未完成</v>
      </c>
      <c r="K51" s="21"/>
      <c r="L51" s="29" t="s">
        <v>15</v>
      </c>
    </row>
    <row r="52" spans="1:12" s="31" customFormat="1" ht="20.149999999999999" hidden="1" customHeight="1">
      <c r="A52" s="27">
        <v>51</v>
      </c>
      <c r="B52" s="27" t="s">
        <v>67</v>
      </c>
      <c r="C52" s="27" t="s">
        <v>12</v>
      </c>
      <c r="D52" s="28">
        <v>45833</v>
      </c>
      <c r="E52" s="28">
        <v>45833</v>
      </c>
      <c r="F52" s="27"/>
      <c r="G52" s="27"/>
      <c r="H52" s="27" t="s">
        <v>13</v>
      </c>
      <c r="I52" s="27" t="s">
        <v>49</v>
      </c>
      <c r="J52" s="22" t="str">
        <f>IF(LEN($G52)=0,IF(進度管制表!$D$1&gt;$E52,"延遲","未完成"),IF($E52=$G52,"如期完成",(IF($E52&gt;$G52,"提前完成",IF($E52&lt;$G52,"落後且完成","未完成")))))</f>
        <v>未完成</v>
      </c>
      <c r="K52" s="21"/>
      <c r="L52" s="29" t="s">
        <v>15</v>
      </c>
    </row>
    <row r="53" spans="1:12" s="31" customFormat="1" ht="20.149999999999999" hidden="1" customHeight="1">
      <c r="A53" s="27">
        <v>52</v>
      </c>
      <c r="B53" s="27" t="s">
        <v>68</v>
      </c>
      <c r="C53" s="27" t="s">
        <v>12</v>
      </c>
      <c r="D53" s="28">
        <v>45834</v>
      </c>
      <c r="E53" s="28">
        <v>45838</v>
      </c>
      <c r="F53" s="27"/>
      <c r="G53" s="27"/>
      <c r="H53" s="27" t="s">
        <v>13</v>
      </c>
      <c r="I53" s="27" t="s">
        <v>49</v>
      </c>
      <c r="J53" s="22" t="str">
        <f>IF(LEN($G53)=0,IF(進度管制表!$D$1&gt;$E53,"延遲","未完成"),IF($E53=$G53,"如期完成",(IF($E53&gt;$G53,"提前完成",IF($E53&lt;$G53,"落後且完成","未完成")))))</f>
        <v>未完成</v>
      </c>
      <c r="K53" s="21"/>
      <c r="L53" s="29" t="s">
        <v>15</v>
      </c>
    </row>
    <row r="54" spans="1:12" s="31" customFormat="1" ht="20.149999999999999" hidden="1" customHeight="1">
      <c r="A54" s="27">
        <v>53</v>
      </c>
      <c r="B54" s="27" t="s">
        <v>69</v>
      </c>
      <c r="C54" s="27" t="s">
        <v>12</v>
      </c>
      <c r="D54" s="28">
        <v>45839</v>
      </c>
      <c r="E54" s="28">
        <v>45839</v>
      </c>
      <c r="F54" s="27"/>
      <c r="G54" s="27"/>
      <c r="H54" s="27" t="s">
        <v>13</v>
      </c>
      <c r="I54" s="27"/>
      <c r="J54" s="22" t="str">
        <f>IF(LEN($G54)=0,IF(進度管制表!$D$1&gt;$E54,"延遲","未完成"),IF($E54=$G54,"如期完成",(IF($E54&gt;$G54,"提前完成",IF($E54&lt;$G54,"落後且完成","未完成")))))</f>
        <v>未完成</v>
      </c>
      <c r="K54" s="21"/>
      <c r="L54" s="29" t="s">
        <v>15</v>
      </c>
    </row>
    <row r="55" spans="1:12" s="31" customFormat="1" ht="20.149999999999999" hidden="1" customHeight="1">
      <c r="A55" s="27">
        <v>54</v>
      </c>
      <c r="B55" s="27" t="s">
        <v>70</v>
      </c>
      <c r="C55" s="27" t="s">
        <v>12</v>
      </c>
      <c r="D55" s="28">
        <v>45839</v>
      </c>
      <c r="E55" s="28">
        <v>45839</v>
      </c>
      <c r="F55" s="27"/>
      <c r="G55" s="27"/>
      <c r="H55" s="27" t="s">
        <v>13</v>
      </c>
      <c r="I55" s="27" t="s">
        <v>49</v>
      </c>
      <c r="J55" s="22" t="str">
        <f>IF(LEN($G55)=0,IF(進度管制表!$D$1&gt;$E55,"延遲","未完成"),IF($E55=$G55,"如期完成",(IF($E55&gt;$G55,"提前完成",IF($E55&lt;$G55,"落後且完成","未完成")))))</f>
        <v>未完成</v>
      </c>
      <c r="K55" s="21"/>
      <c r="L55" s="29" t="s">
        <v>15</v>
      </c>
    </row>
    <row r="56" spans="1:12" s="31" customFormat="1" ht="20.149999999999999" hidden="1" customHeight="1">
      <c r="A56" s="27">
        <v>55</v>
      </c>
      <c r="B56" s="27" t="s">
        <v>71</v>
      </c>
      <c r="C56" s="27" t="s">
        <v>12</v>
      </c>
      <c r="D56" s="28">
        <v>45840</v>
      </c>
      <c r="E56" s="28">
        <v>45842</v>
      </c>
      <c r="F56" s="27"/>
      <c r="G56" s="27"/>
      <c r="H56" s="27" t="s">
        <v>13</v>
      </c>
      <c r="I56" s="27" t="s">
        <v>49</v>
      </c>
      <c r="J56" s="22" t="str">
        <f>IF(LEN($G56)=0,IF(進度管制表!$D$1&gt;$E56,"延遲","未完成"),IF($E56=$G56,"如期完成",(IF($E56&gt;$G56,"提前完成",IF($E56&lt;$G56,"落後且完成","未完成")))))</f>
        <v>未完成</v>
      </c>
      <c r="K56" s="21"/>
      <c r="L56" s="29" t="s">
        <v>15</v>
      </c>
    </row>
    <row r="57" spans="1:12" s="31" customFormat="1" ht="20.149999999999999" hidden="1" customHeight="1">
      <c r="A57" s="27">
        <v>56</v>
      </c>
      <c r="B57" s="27" t="s">
        <v>72</v>
      </c>
      <c r="C57" s="27" t="s">
        <v>12</v>
      </c>
      <c r="D57" s="28">
        <v>45845</v>
      </c>
      <c r="E57" s="28">
        <v>45845</v>
      </c>
      <c r="F57" s="27"/>
      <c r="G57" s="27"/>
      <c r="H57" s="27" t="s">
        <v>13</v>
      </c>
      <c r="I57" s="27"/>
      <c r="J57" s="22" t="str">
        <f>IF(LEN($G57)=0,IF(進度管制表!$D$1&gt;$E57,"延遲","未完成"),IF($E57=$G57,"如期完成",(IF($E57&gt;$G57,"提前完成",IF($E57&lt;$G57,"落後且完成","未完成")))))</f>
        <v>未完成</v>
      </c>
      <c r="K57" s="21"/>
      <c r="L57" s="29" t="s">
        <v>15</v>
      </c>
    </row>
    <row r="58" spans="1:12" s="31" customFormat="1" ht="20.149999999999999" hidden="1" customHeight="1">
      <c r="A58" s="27">
        <v>57</v>
      </c>
      <c r="B58" s="27" t="s">
        <v>73</v>
      </c>
      <c r="C58" s="27" t="s">
        <v>12</v>
      </c>
      <c r="D58" s="28">
        <v>45845</v>
      </c>
      <c r="E58" s="28">
        <v>45845</v>
      </c>
      <c r="F58" s="27"/>
      <c r="G58" s="27"/>
      <c r="H58" s="27" t="s">
        <v>13</v>
      </c>
      <c r="I58" s="27" t="s">
        <v>49</v>
      </c>
      <c r="J58" s="22" t="str">
        <f>IF(LEN($G58)=0,IF(進度管制表!$D$1&gt;$E58,"延遲","未完成"),IF($E58=$G58,"如期完成",(IF($E58&gt;$G58,"提前完成",IF($E58&lt;$G58,"落後且完成","未完成")))))</f>
        <v>未完成</v>
      </c>
      <c r="K58" s="21"/>
      <c r="L58" s="29" t="s">
        <v>15</v>
      </c>
    </row>
    <row r="59" spans="1:12" s="31" customFormat="1" ht="20.149999999999999" hidden="1" customHeight="1">
      <c r="A59" s="27">
        <v>58</v>
      </c>
      <c r="B59" s="27" t="s">
        <v>74</v>
      </c>
      <c r="C59" s="27" t="s">
        <v>12</v>
      </c>
      <c r="D59" s="28">
        <v>45846</v>
      </c>
      <c r="E59" s="28">
        <v>45848</v>
      </c>
      <c r="F59" s="27"/>
      <c r="G59" s="27"/>
      <c r="H59" s="27" t="s">
        <v>13</v>
      </c>
      <c r="I59" s="27" t="s">
        <v>49</v>
      </c>
      <c r="J59" s="22" t="str">
        <f>IF(LEN($G59)=0,IF(進度管制表!$D$1&gt;$E59,"延遲","未完成"),IF($E59=$G59,"如期完成",(IF($E59&gt;$G59,"提前完成",IF($E59&lt;$G59,"落後且完成","未完成")))))</f>
        <v>未完成</v>
      </c>
      <c r="K59" s="21"/>
      <c r="L59" s="29" t="s">
        <v>15</v>
      </c>
    </row>
    <row r="60" spans="1:12" s="31" customFormat="1" ht="20.149999999999999" hidden="1" customHeight="1">
      <c r="A60" s="27">
        <v>59</v>
      </c>
      <c r="B60" s="27" t="s">
        <v>75</v>
      </c>
      <c r="C60" s="27" t="s">
        <v>12</v>
      </c>
      <c r="D60" s="28">
        <v>45849</v>
      </c>
      <c r="E60" s="28">
        <v>45849</v>
      </c>
      <c r="F60" s="27"/>
      <c r="G60" s="27"/>
      <c r="H60" s="27" t="s">
        <v>13</v>
      </c>
      <c r="I60" s="27"/>
      <c r="J60" s="22" t="str">
        <f>IF(LEN($G60)=0,IF(進度管制表!$D$1&gt;$E60,"延遲","未完成"),IF($E60=$G60,"如期完成",(IF($E60&gt;$G60,"提前完成",IF($E60&lt;$G60,"落後且完成","未完成")))))</f>
        <v>未完成</v>
      </c>
      <c r="K60" s="21"/>
      <c r="L60" s="29" t="s">
        <v>15</v>
      </c>
    </row>
    <row r="61" spans="1:12" s="31" customFormat="1" ht="20.149999999999999" hidden="1" customHeight="1">
      <c r="A61" s="27">
        <v>60</v>
      </c>
      <c r="B61" s="27" t="s">
        <v>76</v>
      </c>
      <c r="C61" s="27" t="s">
        <v>12</v>
      </c>
      <c r="D61" s="28">
        <v>45849</v>
      </c>
      <c r="E61" s="28">
        <v>45849</v>
      </c>
      <c r="F61" s="27"/>
      <c r="G61" s="27"/>
      <c r="H61" s="27" t="s">
        <v>13</v>
      </c>
      <c r="I61" s="27" t="s">
        <v>49</v>
      </c>
      <c r="J61" s="22" t="str">
        <f>IF(LEN($G61)=0,IF(進度管制表!$D$1&gt;$E61,"延遲","未完成"),IF($E61=$G61,"如期完成",(IF($E61&gt;$G61,"提前完成",IF($E61&lt;$G61,"落後且完成","未完成")))))</f>
        <v>未完成</v>
      </c>
      <c r="K61" s="21"/>
      <c r="L61" s="29" t="s">
        <v>15</v>
      </c>
    </row>
  </sheetData>
  <autoFilter ref="A1:K61" xr:uid="{00000000-0009-0000-0000-000000000000}">
    <filterColumn colId="5">
      <customFilters>
        <customFilter operator="notEqual" val=" "/>
      </customFilters>
    </filterColumn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>
      <selection activeCell="K10" sqref="K10"/>
    </sheetView>
  </sheetViews>
  <sheetFormatPr defaultColWidth="9" defaultRowHeight="13.5"/>
  <cols>
    <col min="1" max="1" width="14.36328125" style="15" bestFit="1" customWidth="1"/>
    <col min="2" max="2" width="17.453125" style="15" bestFit="1" customWidth="1"/>
    <col min="3" max="3" width="25.36328125" style="15" bestFit="1" customWidth="1"/>
    <col min="4" max="4" width="19.7265625" style="15" bestFit="1" customWidth="1"/>
    <col min="5" max="6" width="18.6328125" style="15" bestFit="1" customWidth="1"/>
    <col min="7" max="7" width="21" style="15" customWidth="1"/>
    <col min="8" max="8" width="15.36328125" style="15" bestFit="1" customWidth="1"/>
    <col min="9" max="9" width="18.6328125" style="15" bestFit="1" customWidth="1"/>
    <col min="10" max="10" width="20.26953125" style="15" bestFit="1" customWidth="1"/>
    <col min="11" max="11" width="12.90625" style="15" bestFit="1" customWidth="1"/>
    <col min="12" max="12" width="17.7265625" style="15" bestFit="1" customWidth="1"/>
    <col min="13" max="16384" width="9" style="15"/>
  </cols>
  <sheetData>
    <row r="1" spans="1:12" ht="17">
      <c r="A1" s="9"/>
      <c r="B1" s="11"/>
      <c r="C1" s="9"/>
      <c r="D1" s="10"/>
      <c r="E1" s="9"/>
      <c r="F1" s="13"/>
      <c r="G1" s="9"/>
      <c r="H1" s="11"/>
      <c r="I1" s="12"/>
      <c r="J1" s="5"/>
      <c r="K1" s="5"/>
    </row>
    <row r="2" spans="1:12" customFormat="1" ht="51">
      <c r="A2" s="16" t="s">
        <v>77</v>
      </c>
      <c r="B2" s="17" t="s">
        <v>78</v>
      </c>
      <c r="C2" s="17" t="s">
        <v>79</v>
      </c>
      <c r="D2" s="18" t="s">
        <v>80</v>
      </c>
      <c r="E2" s="18" t="s">
        <v>81</v>
      </c>
      <c r="F2" s="18" t="s">
        <v>82</v>
      </c>
      <c r="G2" s="19" t="s">
        <v>83</v>
      </c>
      <c r="H2" s="18" t="s">
        <v>84</v>
      </c>
      <c r="I2" s="19" t="s">
        <v>85</v>
      </c>
      <c r="J2" s="18" t="s">
        <v>86</v>
      </c>
      <c r="K2" s="18" t="s">
        <v>87</v>
      </c>
      <c r="L2" s="18" t="s">
        <v>88</v>
      </c>
    </row>
    <row r="3" spans="1:12" ht="17">
      <c r="A3" s="16" t="s">
        <v>13</v>
      </c>
      <c r="B3" s="35">
        <f>COUNTIF(WBS!H:H,A3)</f>
        <v>60</v>
      </c>
      <c r="C3" s="35">
        <f>SUMPRODUCT((WBS!$H:$H=A3)*(WBS!$J:$J="如期完成")+(WBS!$H:$H=A3)*(WBS!$J:$J="提前完成")+(WBS!$H:$H=A3)*(WBS!$J:$J="落後且完成"))</f>
        <v>16</v>
      </c>
      <c r="D3" s="35" cm="1">
        <f t="array" ref="D3">SUMPRODUCT((WBS!$H:$H=A3)*(WBS!$E:$E&lt;=進度管制表!$D$1)*(WBS!$E:$E&gt;=進度管制表!$B$1))</f>
        <v>3</v>
      </c>
      <c r="E3" s="39" cm="1">
        <f t="array" ref="E3">SUMPRODUCT((WBS!$H:$H=A3)*(WBS!$E:$E&lt;=進度管制表!$D$1)*(WBS!$E:$E&gt;=進度管制表!$B$1)*(WBS!$J:$J="如期完成")+(WBS!$H:$H=A3)*(WBS!$E:$E&lt;=進度管制表!$D$1)*(WBS!$E:$E&gt;=進度管制表!$B$1)*(WBS!$J:$J="提前完成")+(WBS!$H:$H=A3)*(WBS!$E:$E&lt;=進度管制表!$D$1)*(WBS!$E:$E&gt;=進度管制表!$B$1)*(WBS!$J:$J="落後且完成"))</f>
        <v>3</v>
      </c>
      <c r="F3" s="36">
        <f>SUMPRODUCT((WBS!$H:$H=A3)*(WBS!$E:$E&lt;=進度管制表!$D$1))</f>
        <v>16</v>
      </c>
      <c r="G3" s="37">
        <f>C3/F3</f>
        <v>1</v>
      </c>
      <c r="H3" s="39">
        <f>SUMPRODUCT((WBS!$H:$H=A3)*(WBS!$J:$J="延遲"))</f>
        <v>0</v>
      </c>
      <c r="I3" s="38">
        <f>H3/B3%</f>
        <v>0</v>
      </c>
      <c r="J3" s="35">
        <f>SUMPRODUCT((WBS!$H:$H=A3)*(WBS!$E:$E&lt;=進度管制表!$H$1)*(WBS!$E:$E&gt;=進度管制表!$D$1))</f>
        <v>10</v>
      </c>
      <c r="K3" s="35">
        <f>SUMPRODUCT((WBS!$H:$H=A3)*(WBS!$J:$J="未完成"))</f>
        <v>44</v>
      </c>
      <c r="L3" s="35">
        <f>SUMPRODUCT((WBS!$H:$H=A3)*(WBS!$J:$J="提前完成"))</f>
        <v>0</v>
      </c>
    </row>
    <row r="4" spans="1:12">
      <c r="E4" s="40"/>
    </row>
  </sheetData>
  <phoneticPr fontId="3" type="noConversion"/>
  <dataValidations count="1">
    <dataValidation type="custom" allowBlank="1" showDropDown="1" sqref="A3" xr:uid="{00000000-0002-0000-0100-000000000000}">
      <formula1>OR(NOT(ISERROR(DATEVALUE(A3))), AND(ISNUMBER(A3), LEFT(CELL("format", A3))="D"))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workbookViewId="0">
      <selection activeCell="F1" sqref="F1"/>
    </sheetView>
  </sheetViews>
  <sheetFormatPr defaultRowHeight="17"/>
  <cols>
    <col min="1" max="1" width="23" bestFit="1" customWidth="1"/>
    <col min="2" max="2" width="19" bestFit="1" customWidth="1"/>
    <col min="3" max="3" width="25.36328125" customWidth="1"/>
    <col min="4" max="4" width="21.453125" bestFit="1" customWidth="1"/>
    <col min="5" max="6" width="20.26953125" bestFit="1" customWidth="1"/>
    <col min="7" max="7" width="22.6328125" bestFit="1" customWidth="1"/>
    <col min="8" max="8" width="15.36328125" bestFit="1" customWidth="1"/>
    <col min="9" max="10" width="20.26953125" bestFit="1" customWidth="1"/>
    <col min="11" max="11" width="12.90625" bestFit="1" customWidth="1"/>
    <col min="12" max="12" width="17.7265625" bestFit="1" customWidth="1"/>
  </cols>
  <sheetData>
    <row r="1" spans="1:12">
      <c r="A1" s="1" t="s">
        <v>89</v>
      </c>
      <c r="B1" s="2">
        <f>D1-B2</f>
        <v>45807</v>
      </c>
      <c r="C1" s="3" t="s">
        <v>90</v>
      </c>
      <c r="D1" s="4">
        <v>45814</v>
      </c>
      <c r="E1" s="1" t="s">
        <v>89</v>
      </c>
      <c r="F1" s="2">
        <f>D1+1</f>
        <v>45815</v>
      </c>
      <c r="G1" s="1" t="s">
        <v>91</v>
      </c>
      <c r="H1" s="2">
        <f>D1+B2</f>
        <v>45821</v>
      </c>
      <c r="I1" s="5"/>
      <c r="J1" s="5"/>
      <c r="K1" s="6"/>
    </row>
    <row r="2" spans="1:12">
      <c r="A2" s="7" t="s">
        <v>92</v>
      </c>
      <c r="B2" s="8">
        <v>7</v>
      </c>
      <c r="C2" s="9"/>
      <c r="D2" s="10"/>
      <c r="E2" s="9"/>
      <c r="F2" s="11"/>
      <c r="G2" s="9"/>
      <c r="H2" s="11"/>
      <c r="I2" s="12"/>
      <c r="J2" s="5"/>
      <c r="K2" s="5"/>
    </row>
    <row r="3" spans="1:12">
      <c r="A3" s="9"/>
      <c r="B3" s="11"/>
      <c r="C3" s="9"/>
      <c r="D3" s="10"/>
      <c r="E3" s="9"/>
      <c r="F3" s="13"/>
      <c r="G3" s="9"/>
      <c r="H3" s="11"/>
      <c r="I3" s="12"/>
      <c r="J3" s="5"/>
      <c r="K3" s="5"/>
    </row>
    <row r="4" spans="1:12" s="20" customFormat="1" ht="60.65" customHeight="1">
      <c r="A4" s="16" t="s">
        <v>77</v>
      </c>
      <c r="B4" s="17" t="s">
        <v>78</v>
      </c>
      <c r="C4" s="17" t="s">
        <v>79</v>
      </c>
      <c r="D4" s="18" t="s">
        <v>80</v>
      </c>
      <c r="E4" s="18" t="s">
        <v>81</v>
      </c>
      <c r="F4" s="18" t="s">
        <v>82</v>
      </c>
      <c r="G4" s="19" t="s">
        <v>83</v>
      </c>
      <c r="H4" s="18" t="s">
        <v>84</v>
      </c>
      <c r="I4" s="19" t="s">
        <v>85</v>
      </c>
      <c r="J4" s="18" t="s">
        <v>86</v>
      </c>
      <c r="K4" s="18" t="s">
        <v>87</v>
      </c>
      <c r="L4" s="18" t="s">
        <v>88</v>
      </c>
    </row>
    <row r="5" spans="1:12">
      <c r="A5" s="16" t="s">
        <v>93</v>
      </c>
      <c r="B5" s="14">
        <f>COUNTIF(WBS!L:L,A5)</f>
        <v>60</v>
      </c>
      <c r="C5" s="14">
        <f>SUMPRODUCT((WBS!$L:$L=A5)*(WBS!$J:$J="如期完成")+(WBS!$L:$L=A5)*(WBS!$J:$J="提前完成")+(WBS!$L:$L=A5)*(WBS!$J:$J="落後且完成"))</f>
        <v>16</v>
      </c>
      <c r="D5" s="14">
        <f>SUMPRODUCT((WBS!$L:$L=A5)*(WBS!$E:$E&lt;=$D$1)*(WBS!$E:$E&gt;=$B$1))</f>
        <v>3</v>
      </c>
      <c r="E5" s="14">
        <f>SUMPRODUCT((WBS!$L:$L=A5)*(WBS!$E:$E&lt;=$D$1)*(WBS!$E:$E&gt;=$B$1)*(WBS!$J:$J="如期完成")+(WBS!$L:$L=A5)*(WBS!$E:$E&lt;=$D$1)*(WBS!$E:$E&gt;=$B$1)*(WBS!$J:$J="提前完成")+(WBS!$L:$L=A5)*(WBS!$E:$E&lt;=$D$1)*(WBS!$E:$E&gt;=$B$1)*(WBS!$J:$J="落後且完成"))</f>
        <v>3</v>
      </c>
      <c r="F5" s="14">
        <f>SUMPRODUCT((WBS!$L:$L=A5)*(WBS!$E:$E&lt;=$D$1))</f>
        <v>16</v>
      </c>
      <c r="G5" s="25">
        <f>C5/F5</f>
        <v>1</v>
      </c>
      <c r="H5" s="14">
        <f>SUMPRODUCT((WBS!$L:$L=A5)*(WBS!$J:$J="延遲"))</f>
        <v>0</v>
      </c>
      <c r="I5" s="14">
        <f>H5/B5%</f>
        <v>0</v>
      </c>
      <c r="J5" s="14">
        <f>SUMPRODUCT((WBS!$L:$L=A5)*(WBS!$E:$E&lt;=$H$1)*(WBS!$E:$E&gt;=$D$1))</f>
        <v>10</v>
      </c>
      <c r="K5" s="14">
        <f>SUMPRODUCT((WBS!$L:$L=A5)*(WBS!$J:$J="未完成"))</f>
        <v>44</v>
      </c>
      <c r="L5" s="14">
        <f>SUMPRODUCT((WBS!$L:$L=A5)*(WBS!$J:$J="提前完成"))</f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CB82-E904-4DFD-8AF3-E96FA8822C41}">
  <sheetPr filterMode="1"/>
  <dimension ref="A1:J5"/>
  <sheetViews>
    <sheetView tabSelected="1" zoomScale="70" zoomScaleNormal="70" workbookViewId="0">
      <selection activeCell="A3" sqref="A3"/>
    </sheetView>
  </sheetViews>
  <sheetFormatPr defaultRowHeight="19.5"/>
  <cols>
    <col min="1" max="1" width="9.81640625" style="46" customWidth="1"/>
    <col min="2" max="2" width="19.7265625" style="46" customWidth="1"/>
    <col min="3" max="3" width="16.81640625" style="46" customWidth="1"/>
    <col min="4" max="4" width="70.453125" style="46" customWidth="1"/>
    <col min="5" max="5" width="21" style="46" customWidth="1"/>
    <col min="6" max="6" width="71.81640625" style="46" customWidth="1"/>
    <col min="7" max="7" width="15.54296875" style="46" customWidth="1"/>
    <col min="8" max="8" width="18.7265625" style="46" customWidth="1"/>
    <col min="9" max="9" width="21" style="46" customWidth="1"/>
    <col min="10" max="10" width="26.453125" style="46" customWidth="1"/>
    <col min="11" max="16384" width="8.7265625" style="46"/>
  </cols>
  <sheetData>
    <row r="1" spans="1:10">
      <c r="A1" s="41" t="s">
        <v>95</v>
      </c>
      <c r="B1" s="41" t="s">
        <v>96</v>
      </c>
      <c r="C1" s="42" t="s">
        <v>97</v>
      </c>
      <c r="D1" s="43" t="s">
        <v>98</v>
      </c>
      <c r="E1" s="44" t="s">
        <v>99</v>
      </c>
      <c r="F1" s="43" t="s">
        <v>100</v>
      </c>
      <c r="G1" s="45" t="s">
        <v>101</v>
      </c>
      <c r="H1" s="45" t="s">
        <v>102</v>
      </c>
      <c r="I1" s="44" t="s">
        <v>103</v>
      </c>
      <c r="J1" s="43" t="s">
        <v>104</v>
      </c>
    </row>
    <row r="2" spans="1:10" ht="409.5" hidden="1">
      <c r="A2" s="47">
        <v>1</v>
      </c>
      <c r="B2" s="47" t="s">
        <v>105</v>
      </c>
      <c r="C2" s="48">
        <v>45796</v>
      </c>
      <c r="D2" s="49" t="s">
        <v>106</v>
      </c>
      <c r="E2" s="48">
        <v>45810</v>
      </c>
      <c r="F2" s="49" t="s">
        <v>107</v>
      </c>
      <c r="G2" s="49" t="s">
        <v>108</v>
      </c>
      <c r="H2" s="50" t="s">
        <v>114</v>
      </c>
      <c r="I2" s="47"/>
      <c r="J2" s="47"/>
    </row>
    <row r="3" spans="1:10" ht="219" customHeight="1">
      <c r="A3" s="47">
        <v>2</v>
      </c>
      <c r="B3" s="47" t="s">
        <v>105</v>
      </c>
      <c r="C3" s="48">
        <v>45796</v>
      </c>
      <c r="D3" s="49" t="s">
        <v>115</v>
      </c>
      <c r="E3" s="51" t="s">
        <v>109</v>
      </c>
      <c r="F3" s="49" t="s">
        <v>116</v>
      </c>
      <c r="G3" s="49" t="s">
        <v>108</v>
      </c>
      <c r="H3" s="47" t="s">
        <v>110</v>
      </c>
      <c r="I3" s="47"/>
      <c r="J3" s="47"/>
    </row>
    <row r="4" spans="1:10" ht="180" hidden="1">
      <c r="A4" s="47">
        <v>3</v>
      </c>
      <c r="B4" s="47" t="s">
        <v>105</v>
      </c>
      <c r="C4" s="48">
        <v>45803</v>
      </c>
      <c r="D4" s="49" t="s">
        <v>111</v>
      </c>
      <c r="E4" s="48">
        <v>45817</v>
      </c>
      <c r="F4" s="49" t="s">
        <v>112</v>
      </c>
      <c r="G4" s="49" t="s">
        <v>113</v>
      </c>
      <c r="H4" s="50" t="s">
        <v>114</v>
      </c>
      <c r="I4" s="47"/>
      <c r="J4" s="47"/>
    </row>
    <row r="5" spans="1:10" ht="97.5" customHeight="1">
      <c r="A5" s="47">
        <v>4</v>
      </c>
      <c r="B5" s="47" t="s">
        <v>105</v>
      </c>
      <c r="C5" s="48">
        <v>45813</v>
      </c>
      <c r="D5" s="49" t="s">
        <v>117</v>
      </c>
      <c r="E5" s="48">
        <v>45827</v>
      </c>
      <c r="F5" s="49" t="s">
        <v>118</v>
      </c>
      <c r="G5" s="49" t="s">
        <v>108</v>
      </c>
      <c r="H5" s="47" t="s">
        <v>110</v>
      </c>
      <c r="I5" s="47"/>
      <c r="J5" s="47"/>
    </row>
  </sheetData>
  <autoFilter ref="A1:J4" xr:uid="{C0D4CB82-E904-4DFD-8AF3-E96FA8822C41}">
    <filterColumn colId="7">
      <filters>
        <filter val="處理中"/>
      </filters>
    </filterColumn>
  </autoFilter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925A6B61ADFCC64888DBB2532921AEBF" ma:contentTypeVersion="3" ma:contentTypeDescription="建立新的文件。" ma:contentTypeScope="" ma:versionID="0a7682805e9a4742f04fbd3cb82738d4">
  <xsd:schema xmlns:xsd="http://www.w3.org/2001/XMLSchema" xmlns:xs="http://www.w3.org/2001/XMLSchema" xmlns:p="http://schemas.microsoft.com/office/2006/metadata/properties" xmlns:ns2="a586e4c8-ad1d-4442-b7e8-38db3951d0a9" targetNamespace="http://schemas.microsoft.com/office/2006/metadata/properties" ma:root="true" ma:fieldsID="db27876c2a6ee913a02d2efa71c6106e" ns2:_="">
    <xsd:import namespace="a586e4c8-ad1d-4442-b7e8-38db3951d0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86e4c8-ad1d-4442-b7e8-38db3951d0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5E9A15-0B47-4269-9811-0DEDA8DE8E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86e4c8-ad1d-4442-b7e8-38db3951d0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5ABF71-B722-4BBB-A35D-4846FA0E06B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13A5388-29C8-4451-92C4-A827D980DB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WBS</vt:lpstr>
      <vt:lpstr>WBS 成員進度管制表</vt:lpstr>
      <vt:lpstr>進度管制表</vt:lpstr>
      <vt:lpstr>YMS內部議題追蹤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使用者</dc:creator>
  <cp:keywords/>
  <dc:description/>
  <cp:lastModifiedBy>莊勝淵</cp:lastModifiedBy>
  <cp:revision/>
  <dcterms:created xsi:type="dcterms:W3CDTF">2025-05-20T07:07:54Z</dcterms:created>
  <dcterms:modified xsi:type="dcterms:W3CDTF">2025-06-09T01:36:38Z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0x010100925A6B61ADFCC64888DBB2532921AEBF</vt:lpwstr>
  </property>
  <property fmtid="{D5CDD505-2E9C-101B-9397-08002B2CF9AE}" pid="3" name="MediaServiceImageTags">
    <vt:lpwstr/>
  </property>
</Properties>
</file>